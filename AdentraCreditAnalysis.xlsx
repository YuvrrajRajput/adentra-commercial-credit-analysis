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vrajrajput/Documents/Credit Analysis/"/>
    </mc:Choice>
  </mc:AlternateContent>
  <xr:revisionPtr revIDLastSave="0" documentId="13_ncr:1_{E7119F29-D5E7-FA49-B050-3D9C7B75F4A8}" xr6:coauthVersionLast="47" xr6:coauthVersionMax="47" xr10:uidLastSave="{00000000-0000-0000-0000-000000000000}"/>
  <bookViews>
    <workbookView xWindow="0" yWindow="0" windowWidth="38400" windowHeight="21600" activeTab="4" xr2:uid="{F63797C7-25CE-CD4B-8376-A3C3B58D7C54}"/>
  </bookViews>
  <sheets>
    <sheet name="Cover" sheetId="5" r:id="rId1"/>
    <sheet name="Income Statement" sheetId="1" r:id="rId2"/>
    <sheet name="Balance Sheet" sheetId="2" r:id="rId3"/>
    <sheet name=" Cash Flow" sheetId="3" r:id="rId4"/>
    <sheet name="Credit Metric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5" i="1" s="1"/>
  <c r="C9" i="4"/>
  <c r="D9" i="4"/>
  <c r="E9" i="4"/>
  <c r="B9" i="4"/>
  <c r="C24" i="3"/>
  <c r="D24" i="3"/>
  <c r="D8" i="4" s="1"/>
  <c r="E24" i="3"/>
  <c r="B24" i="3"/>
  <c r="C8" i="4"/>
  <c r="E8" i="4"/>
  <c r="B8" i="4"/>
  <c r="C17" i="4"/>
  <c r="D17" i="4"/>
  <c r="E17" i="4"/>
  <c r="C16" i="4"/>
  <c r="D16" i="4"/>
  <c r="E16" i="4"/>
  <c r="C26" i="4"/>
  <c r="D26" i="4"/>
  <c r="E26" i="4"/>
  <c r="B26" i="4"/>
  <c r="C25" i="4"/>
  <c r="D25" i="4"/>
  <c r="E25" i="4"/>
  <c r="B25" i="4"/>
  <c r="D24" i="4"/>
  <c r="E24" i="4"/>
  <c r="B7" i="4"/>
  <c r="B24" i="4" s="1"/>
  <c r="C7" i="4"/>
  <c r="C24" i="4" s="1"/>
  <c r="E44" i="3"/>
  <c r="D44" i="3"/>
  <c r="C44" i="3"/>
  <c r="B44" i="3"/>
  <c r="B35" i="3"/>
  <c r="C35" i="3"/>
  <c r="D35" i="3"/>
  <c r="E35" i="3"/>
  <c r="B22" i="3"/>
  <c r="B23" i="3" s="1"/>
  <c r="B46" i="3" s="1"/>
  <c r="B52" i="3" s="1"/>
  <c r="C22" i="3"/>
  <c r="C23" i="3" s="1"/>
  <c r="C46" i="3" s="1"/>
  <c r="C52" i="3" s="1"/>
  <c r="B16" i="3"/>
  <c r="C16" i="3"/>
  <c r="D23" i="3"/>
  <c r="D46" i="3" s="1"/>
  <c r="D52" i="3" s="1"/>
  <c r="E22" i="3"/>
  <c r="D22" i="3"/>
  <c r="E16" i="3"/>
  <c r="E23" i="3" s="1"/>
  <c r="E46" i="3" s="1"/>
  <c r="E52" i="3" s="1"/>
  <c r="D16" i="3"/>
  <c r="C5" i="4"/>
  <c r="C6" i="4" s="1"/>
  <c r="C13" i="4" s="1"/>
  <c r="D5" i="4"/>
  <c r="D12" i="4" s="1"/>
  <c r="E5" i="4"/>
  <c r="E12" i="4" s="1"/>
  <c r="B5" i="4"/>
  <c r="B6" i="4" s="1"/>
  <c r="E27" i="2"/>
  <c r="E34" i="2" s="1"/>
  <c r="E37" i="2" s="1"/>
  <c r="D27" i="2"/>
  <c r="D34" i="2" s="1"/>
  <c r="D37" i="2" s="1"/>
  <c r="E19" i="2"/>
  <c r="D19" i="2"/>
  <c r="E10" i="2"/>
  <c r="D10" i="2"/>
  <c r="C33" i="2"/>
  <c r="B33" i="2"/>
  <c r="C27" i="2"/>
  <c r="B27" i="2"/>
  <c r="C19" i="2"/>
  <c r="B19" i="2"/>
  <c r="C10" i="2"/>
  <c r="B10" i="2"/>
  <c r="B7" i="1"/>
  <c r="B6" i="1"/>
  <c r="E27" i="1"/>
  <c r="E13" i="1"/>
  <c r="E6" i="1"/>
  <c r="E7" i="1" s="1"/>
  <c r="D27" i="1"/>
  <c r="D15" i="1"/>
  <c r="D16" i="1" s="1"/>
  <c r="D19" i="1" s="1"/>
  <c r="D22" i="1" s="1"/>
  <c r="D24" i="1" s="1"/>
  <c r="D25" i="1" s="1"/>
  <c r="D13" i="1"/>
  <c r="D6" i="1"/>
  <c r="D7" i="1" s="1"/>
  <c r="C27" i="1"/>
  <c r="C13" i="1"/>
  <c r="C6" i="1"/>
  <c r="C7" i="1"/>
  <c r="B16" i="1" l="1"/>
  <c r="B17" i="4" s="1"/>
  <c r="E20" i="2"/>
  <c r="C20" i="2"/>
  <c r="B20" i="2"/>
  <c r="D20" i="2"/>
  <c r="C20" i="4"/>
  <c r="B21" i="4"/>
  <c r="B20" i="4"/>
  <c r="C21" i="4"/>
  <c r="D27" i="4"/>
  <c r="C27" i="4"/>
  <c r="E20" i="4"/>
  <c r="E21" i="4"/>
  <c r="D6" i="4"/>
  <c r="D13" i="4" s="1"/>
  <c r="B27" i="4"/>
  <c r="E27" i="4"/>
  <c r="C12" i="4"/>
  <c r="D20" i="4"/>
  <c r="E6" i="4"/>
  <c r="E13" i="4" s="1"/>
  <c r="D21" i="4"/>
  <c r="E15" i="1"/>
  <c r="E16" i="1" s="1"/>
  <c r="B34" i="2"/>
  <c r="B37" i="2" s="1"/>
  <c r="C34" i="2"/>
  <c r="C37" i="2" s="1"/>
  <c r="E17" i="1"/>
  <c r="E19" i="1"/>
  <c r="E22" i="1" s="1"/>
  <c r="E24" i="1" s="1"/>
  <c r="E25" i="1" s="1"/>
  <c r="D17" i="1"/>
  <c r="C15" i="1"/>
  <c r="C16" i="1" s="1"/>
  <c r="C17" i="1" s="1"/>
  <c r="C19" i="1"/>
  <c r="C22" i="1" s="1"/>
  <c r="C24" i="1" s="1"/>
  <c r="C25" i="1" s="1"/>
  <c r="B17" i="1" l="1"/>
  <c r="B19" i="1"/>
  <c r="B12" i="4"/>
  <c r="B13" i="4"/>
  <c r="B22" i="1" l="1"/>
  <c r="B24" i="1" s="1"/>
  <c r="B25" i="1" s="1"/>
  <c r="B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1" authorId="0" shapeId="0" xr:uid="{96365879-F2C7-3448-840F-26BE81F8B358}">
      <text>
        <r>
          <rPr>
            <sz val="10"/>
            <color rgb="FF000000"/>
            <rFont val="Tahoma"/>
            <family val="2"/>
          </rPr>
          <t xml:space="preserve">FY22 items disclosure differs from the other years. Depreciation here is embedded into the SG&amp;A expense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27" authorId="0" shapeId="0" xr:uid="{B5D436FF-D07C-5C4A-A19A-A98A876B4339}">
      <text>
        <r>
          <rPr>
            <sz val="10"/>
            <color rgb="FF000000"/>
            <rFont val="Tahoma"/>
            <family val="2"/>
          </rPr>
          <t>Income taxes payable of $4654 in 2025</t>
        </r>
      </text>
    </comment>
    <comment ref="D33" authorId="0" shapeId="0" xr:uid="{AFB4FE05-CD38-8E4C-B77E-7D34DBC38792}">
      <text>
        <r>
          <rPr>
            <sz val="10"/>
            <color rgb="FF000000"/>
            <rFont val="Tahoma"/>
            <family val="2"/>
          </rPr>
          <t>Includes $6302 worth of deferred income taxes</t>
        </r>
      </text>
    </comment>
    <comment ref="E33" authorId="0" shapeId="0" xr:uid="{E6BE1884-2209-2046-A49D-2AEAB2A1E8AA}">
      <text>
        <r>
          <rPr>
            <sz val="10"/>
            <color rgb="FF000000"/>
            <rFont val="Tahoma"/>
            <family val="2"/>
          </rPr>
          <t>Includes $6966 worth of deferred income taxes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4" authorId="0" shapeId="0" xr:uid="{DE225041-29F2-E54B-BD0B-709E17B05DE7}">
      <text>
        <r>
          <rPr>
            <sz val="10"/>
            <color rgb="FF000000"/>
            <rFont val="Tahoma"/>
            <family val="2"/>
          </rPr>
          <t>Cash flow from operating activities/cap ex. Cap ex here includes additions to PP&amp;E and additions to intangible assets.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5" authorId="0" shapeId="0" xr:uid="{4FE6B66E-6A86-E644-8035-E87AC79145D7}">
      <text>
        <r>
          <rPr>
            <sz val="10"/>
            <color rgb="FF000000"/>
            <rFont val="Tahoma"/>
            <family val="2"/>
          </rPr>
          <t xml:space="preserve">Sum of current and Non-current bank indebtness and lease obligations.
</t>
        </r>
      </text>
    </comment>
    <comment ref="A6" authorId="0" shapeId="0" xr:uid="{E908D7D1-9A21-A641-968E-BDA00AFFB053}">
      <text>
        <r>
          <rPr>
            <sz val="10"/>
            <color rgb="FF000000"/>
            <rFont val="Tahoma"/>
            <family val="2"/>
          </rPr>
          <t>Total debt - cash and cash eqivalents</t>
        </r>
      </text>
    </comment>
    <comment ref="A7" authorId="0" shapeId="0" xr:uid="{02B35734-DFD7-F84C-AFFC-BFCE4DFF2C5D}">
      <text>
        <r>
          <rPr>
            <sz val="10"/>
            <color rgb="FF000000"/>
            <rFont val="Tahoma"/>
            <family val="2"/>
          </rPr>
          <t>Subtracted investments from the balance sheet</t>
        </r>
      </text>
    </comment>
    <comment ref="A16" authorId="0" shapeId="0" xr:uid="{35D18151-78C1-5B41-A020-48D13DA4E96A}">
      <text>
        <r>
          <rPr>
            <sz val="10"/>
            <color rgb="FF000000"/>
            <rFont val="Tahoma"/>
            <family val="2"/>
          </rPr>
          <t xml:space="preserve">EBIT/interest expense
</t>
        </r>
      </text>
    </comment>
    <comment ref="A17" authorId="0" shapeId="0" xr:uid="{275FB145-37BA-4A4F-9918-F16F290AD921}">
      <text>
        <r>
          <rPr>
            <sz val="10"/>
            <color rgb="FF000000"/>
            <rFont val="Aptos Narrow"/>
          </rPr>
          <t>EBITDA divided by (Interest Expense + Principal Repayments)</t>
        </r>
      </text>
    </comment>
    <comment ref="A27" authorId="0" shapeId="0" xr:uid="{735A2781-641C-8B49-9E84-6CDE52B0205A}">
      <text>
        <r>
          <rPr>
            <sz val="10"/>
            <color rgb="FF000000"/>
            <rFont val="Tahoma"/>
            <family val="2"/>
          </rPr>
          <t>DSO+DIO-DPO</t>
        </r>
      </text>
    </comment>
  </commentList>
</comments>
</file>

<file path=xl/sharedStrings.xml><?xml version="1.0" encoding="utf-8"?>
<sst xmlns="http://schemas.openxmlformats.org/spreadsheetml/2006/main" count="159" uniqueCount="140">
  <si>
    <t>Line Item</t>
  </si>
  <si>
    <t>FY23</t>
  </si>
  <si>
    <t>FY24</t>
  </si>
  <si>
    <t>FY25</t>
  </si>
  <si>
    <t>Revenue</t>
  </si>
  <si>
    <t>COGS</t>
  </si>
  <si>
    <t>Gross Profit</t>
  </si>
  <si>
    <t>Gross Margin %</t>
  </si>
  <si>
    <t>Operating Expenses</t>
  </si>
  <si>
    <t xml:space="preserve">    Amortization of acquired intangible assets</t>
  </si>
  <si>
    <t>Income from operations</t>
  </si>
  <si>
    <t>EBITDA</t>
  </si>
  <si>
    <t>EBITDA %</t>
  </si>
  <si>
    <t>Depreciation and Amortization</t>
  </si>
  <si>
    <t>EBIT</t>
  </si>
  <si>
    <t>Pre-Tax Income</t>
  </si>
  <si>
    <t>Net Interest Expense</t>
  </si>
  <si>
    <t>Income Tax</t>
  </si>
  <si>
    <t>Net Income</t>
  </si>
  <si>
    <t>Net Income Margin %</t>
  </si>
  <si>
    <t>Revenue Growth YoY %</t>
  </si>
  <si>
    <t xml:space="preserve">    Selling, distribution and administration</t>
  </si>
  <si>
    <t xml:space="preserve">    Depreciation</t>
  </si>
  <si>
    <t>FY22</t>
  </si>
  <si>
    <t xml:space="preserve">  Cash and cash equivalents</t>
  </si>
  <si>
    <t xml:space="preserve">  Inventories</t>
  </si>
  <si>
    <t>Non-Current Assets</t>
  </si>
  <si>
    <t xml:space="preserve">  PP&amp;E</t>
  </si>
  <si>
    <t xml:space="preserve">  Right of use assets</t>
  </si>
  <si>
    <t xml:space="preserve">  Goodwill</t>
  </si>
  <si>
    <t xml:space="preserve">  Receivables and investments</t>
  </si>
  <si>
    <t xml:space="preserve">  Income taxes receivable</t>
  </si>
  <si>
    <t xml:space="preserve">  Prepaid expenses</t>
  </si>
  <si>
    <t xml:space="preserve">  Total current assets</t>
  </si>
  <si>
    <t xml:space="preserve">  Intangible assets</t>
  </si>
  <si>
    <t xml:space="preserve">  Deferred income taxes</t>
  </si>
  <si>
    <t xml:space="preserve">  Total non-current assets</t>
  </si>
  <si>
    <t>Total assets</t>
  </si>
  <si>
    <t>Current assets</t>
  </si>
  <si>
    <t>Current liabilities</t>
  </si>
  <si>
    <t xml:space="preserve">  Bank indebtedness</t>
  </si>
  <si>
    <t xml:space="preserve">  Accounts payable and accrued liability</t>
  </si>
  <si>
    <t xml:space="preserve">  Lease obligations</t>
  </si>
  <si>
    <t>Total current liabilities</t>
  </si>
  <si>
    <t>Non-current liabilities</t>
  </si>
  <si>
    <t xml:space="preserve">  Other liabilities</t>
  </si>
  <si>
    <t xml:space="preserve">  Total non-current liabilities</t>
  </si>
  <si>
    <t>Shareholder's equity</t>
  </si>
  <si>
    <t>Total liabilities and shareholder's equity</t>
  </si>
  <si>
    <t>Balance Sheet (Expressed in thousands of US dollars)</t>
  </si>
  <si>
    <t>Income Statement (Expressed in thousands of US dollars)</t>
  </si>
  <si>
    <t>Cash Flow Statement (Expressed in thousands of US dollars)</t>
  </si>
  <si>
    <t>Calculations</t>
  </si>
  <si>
    <t xml:space="preserve">  Total debt</t>
  </si>
  <si>
    <t xml:space="preserve">  Net debt</t>
  </si>
  <si>
    <t xml:space="preserve">  Total debt to EBITDA</t>
  </si>
  <si>
    <t xml:space="preserve">  Net debt to EBITDA</t>
  </si>
  <si>
    <t xml:space="preserve">  Interest coverage ratio</t>
  </si>
  <si>
    <t xml:space="preserve">  Debt service coverage ratio</t>
  </si>
  <si>
    <t>Cash flow from operating activities:</t>
  </si>
  <si>
    <t xml:space="preserve">  Net income for the year</t>
  </si>
  <si>
    <t xml:space="preserve">  Adjustments for:</t>
  </si>
  <si>
    <t xml:space="preserve">    Depreciation and amortization</t>
  </si>
  <si>
    <t xml:space="preserve">    Gain on sale of PP&amp;E</t>
  </si>
  <si>
    <t xml:space="preserve">    Gain on deferred contingent consideration</t>
  </si>
  <si>
    <t xml:space="preserve">    Share-based compensation expense</t>
  </si>
  <si>
    <t xml:space="preserve">    Income tax (recovery) expense</t>
  </si>
  <si>
    <t xml:space="preserve">    Net finance expense</t>
  </si>
  <si>
    <t xml:space="preserve">  Interest Received</t>
  </si>
  <si>
    <t xml:space="preserve">  Interest paid</t>
  </si>
  <si>
    <t xml:space="preserve">  Income taxes paid</t>
  </si>
  <si>
    <t xml:space="preserve">  Changes in non cash working capital:</t>
  </si>
  <si>
    <t xml:space="preserve">    Accounts receivable</t>
  </si>
  <si>
    <t xml:space="preserve">    Inventories</t>
  </si>
  <si>
    <t xml:space="preserve">    Prepaid expenses</t>
  </si>
  <si>
    <t xml:space="preserve">    Accounts payable and accured liabilities</t>
  </si>
  <si>
    <t xml:space="preserve">  Net cash provided by operating activities</t>
  </si>
  <si>
    <t>Cash flow from financing activites:</t>
  </si>
  <si>
    <t xml:space="preserve">  Repayment of term loan</t>
  </si>
  <si>
    <t xml:space="preserve">  Proceeds from revolving credit loan</t>
  </si>
  <si>
    <t xml:space="preserve">  Principle payments on lease obligations</t>
  </si>
  <si>
    <t xml:space="preserve">  Equity offering, net of share issuance costs</t>
  </si>
  <si>
    <t xml:space="preserve">  Repurchase of common shares</t>
  </si>
  <si>
    <t xml:space="preserve">  Dividends paid to shareholders</t>
  </si>
  <si>
    <t xml:space="preserve">  Issuance of long-term bank indebtedness</t>
  </si>
  <si>
    <t xml:space="preserve">  (Repayment) Issuance of short-term bank indebtedness</t>
  </si>
  <si>
    <t>Cash flow (used in) from investing activities:</t>
  </si>
  <si>
    <t xml:space="preserve">  Net cash (used in) provided by financing activities</t>
  </si>
  <si>
    <t xml:space="preserve">  Additions to property, plant and equipment</t>
  </si>
  <si>
    <t xml:space="preserve">  Proceeds on disposal of property, plant and equipment</t>
  </si>
  <si>
    <t xml:space="preserve">  Business acquisitions</t>
  </si>
  <si>
    <t xml:space="preserve">  (Increase) decrease in non-current receivables</t>
  </si>
  <si>
    <t xml:space="preserve">  (Increase) decrease in investments</t>
  </si>
  <si>
    <t xml:space="preserve">  Net cash used in investing activities</t>
  </si>
  <si>
    <t xml:space="preserve">  Additions to intangible assets</t>
  </si>
  <si>
    <t>(Decrease) increase in cash equivalents</t>
  </si>
  <si>
    <t>Cash and cash equivalents, beginning of year</t>
  </si>
  <si>
    <t>Effect of exchange rate changes</t>
  </si>
  <si>
    <t>Cash and cash equivalents, end of year</t>
  </si>
  <si>
    <t xml:space="preserve">  Quick ratio</t>
  </si>
  <si>
    <t xml:space="preserve">  Current ratio</t>
  </si>
  <si>
    <t>Liquidity ratios</t>
  </si>
  <si>
    <t>Coverage ratios</t>
  </si>
  <si>
    <t>Leverage ratios</t>
  </si>
  <si>
    <t xml:space="preserve">  Days sales outstanding (DSO)</t>
  </si>
  <si>
    <t xml:space="preserve">  Accounts receivable</t>
  </si>
  <si>
    <t xml:space="preserve">  Days inventory outstanding (DIO)</t>
  </si>
  <si>
    <t xml:space="preserve">  Days payable outstanding (DPO)</t>
  </si>
  <si>
    <t xml:space="preserve">  Cash conversion cycle (CCC)</t>
  </si>
  <si>
    <t>Credit Metrics</t>
  </si>
  <si>
    <t xml:space="preserve">  Dividend payable</t>
  </si>
  <si>
    <t>Efficiency ratios</t>
  </si>
  <si>
    <t>Free cash flow (FCF)</t>
  </si>
  <si>
    <t xml:space="preserve">  Free cash flow (FCF)</t>
  </si>
  <si>
    <t xml:space="preserve">  FCF to total debt</t>
  </si>
  <si>
    <t>CREDIT ANALYSIS</t>
  </si>
  <si>
    <t>ADENTRA Inc. (TSX: ADEN)</t>
  </si>
  <si>
    <t>Specialty Architectural Building Products Distribution</t>
  </si>
  <si>
    <t>Analyst</t>
  </si>
  <si>
    <t>Yuvrraj Rajput</t>
  </si>
  <si>
    <t>Date</t>
  </si>
  <si>
    <t>22 April, 2026</t>
  </si>
  <si>
    <t>Fiscal Years</t>
  </si>
  <si>
    <t>FY2022 - FY2025</t>
  </si>
  <si>
    <t>Currency</t>
  </si>
  <si>
    <t>USD (thousands)</t>
  </si>
  <si>
    <t>Data Source</t>
  </si>
  <si>
    <t>ADENTRA Financial Reporting</t>
  </si>
  <si>
    <t>Total liabilities</t>
  </si>
  <si>
    <t>CREDIT RECOMMENDATION</t>
  </si>
  <si>
    <t>Conditional Approval — Senior Secured Revolving Credit Facility subject to leverage and coverage covenants.</t>
  </si>
  <si>
    <t>MODEL CONTENTS</t>
  </si>
  <si>
    <t>Income Statement</t>
  </si>
  <si>
    <t>Revenue, EBITDA, Margins and Profitability</t>
  </si>
  <si>
    <t>Balance Sheet</t>
  </si>
  <si>
    <t>Cash Flow</t>
  </si>
  <si>
    <t>Assets, Liabilities and Shareholder's Equity</t>
  </si>
  <si>
    <t>Operating, Investing and Financing Cash Flows</t>
  </si>
  <si>
    <t>Leverage, coverage, liquidity and efficiency ratios with trend analysis</t>
  </si>
  <si>
    <t>Confidential — Prepared for Portfolio and Educational Purposes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</si>
</sst>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  <numFmt numFmtId="166" formatCode="0.0\x"/>
    <numFmt numFmtId="167" formatCode="0.0&quot;x&quot;"/>
    <numFmt numFmtId="168" formatCode="0\ &quot;days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2"/>
      <color rgb="FF0070C0"/>
      <name val="Aptos Narrow"/>
      <scheme val="minor"/>
    </font>
    <font>
      <sz val="12"/>
      <color rgb="FF0070C0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theme="0"/>
      <name val="Aptos Narrow (Body)"/>
    </font>
    <font>
      <b/>
      <sz val="22"/>
      <color theme="0"/>
      <name val="Aptos Narrow"/>
      <scheme val="minor"/>
    </font>
    <font>
      <sz val="12"/>
      <color theme="0" tint="-0.14999847407452621"/>
      <name val="Aptos Narrow"/>
      <family val="2"/>
      <scheme val="minor"/>
    </font>
    <font>
      <sz val="11"/>
      <color theme="0" tint="-0.14999847407452621"/>
      <name val="Aptos Narrow (Body)"/>
    </font>
    <font>
      <sz val="11"/>
      <color theme="0" tint="-0.1499984740745262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rgb="FF133B63"/>
      <name val="Aptos Narrow"/>
      <scheme val="minor"/>
    </font>
    <font>
      <b/>
      <sz val="13"/>
      <color rgb="FF133B63"/>
      <name val="Aptos Narrow"/>
      <scheme val="minor"/>
    </font>
    <font>
      <sz val="11"/>
      <color theme="1" tint="0.249977111117893"/>
      <name val="Aptos Narrow"/>
      <scheme val="minor"/>
    </font>
    <font>
      <i/>
      <sz val="10"/>
      <color theme="1" tint="0.249977111117893"/>
      <name val="Aptos Narrow"/>
      <scheme val="minor"/>
    </font>
    <font>
      <sz val="10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33B6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44" fontId="2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44" fontId="2" fillId="0" borderId="0" xfId="1" applyFont="1" applyAlignment="1"/>
    <xf numFmtId="44" fontId="0" fillId="0" borderId="0" xfId="1" applyFont="1"/>
    <xf numFmtId="0" fontId="0" fillId="0" borderId="2" xfId="0" applyBorder="1"/>
    <xf numFmtId="0" fontId="0" fillId="0" borderId="0" xfId="0" applyAlignment="1">
      <alignment horizontal="center"/>
    </xf>
    <xf numFmtId="44" fontId="2" fillId="0" borderId="0" xfId="1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44" fontId="2" fillId="0" borderId="3" xfId="1" applyFont="1" applyBorder="1" applyAlignment="1">
      <alignment horizontal="center"/>
    </xf>
    <xf numFmtId="0" fontId="2" fillId="0" borderId="5" xfId="0" applyFont="1" applyBorder="1"/>
    <xf numFmtId="0" fontId="3" fillId="0" borderId="4" xfId="0" applyFont="1" applyBorder="1"/>
    <xf numFmtId="0" fontId="4" fillId="0" borderId="0" xfId="0" applyFont="1"/>
    <xf numFmtId="0" fontId="2" fillId="0" borderId="3" xfId="0" applyFont="1" applyBorder="1" applyAlignment="1">
      <alignment horizontal="left"/>
    </xf>
    <xf numFmtId="44" fontId="0" fillId="0" borderId="0" xfId="0" applyNumberFormat="1"/>
    <xf numFmtId="0" fontId="4" fillId="0" borderId="0" xfId="0" applyFont="1" applyAlignment="1">
      <alignment horizontal="left"/>
    </xf>
    <xf numFmtId="0" fontId="0" fillId="0" borderId="3" xfId="0" applyBorder="1"/>
    <xf numFmtId="0" fontId="0" fillId="0" borderId="6" xfId="0" applyBorder="1"/>
    <xf numFmtId="165" fontId="2" fillId="0" borderId="3" xfId="1" applyNumberFormat="1" applyFont="1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44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7" xfId="0" applyBorder="1"/>
    <xf numFmtId="165" fontId="0" fillId="0" borderId="7" xfId="1" applyNumberFormat="1" applyFont="1" applyBorder="1" applyAlignment="1">
      <alignment horizontal="center"/>
    </xf>
    <xf numFmtId="44" fontId="0" fillId="0" borderId="0" xfId="1" applyFont="1" applyBorder="1"/>
    <xf numFmtId="2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6" fillId="0" borderId="0" xfId="1" applyNumberFormat="1" applyFont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165" fontId="8" fillId="0" borderId="0" xfId="1" applyNumberFormat="1" applyFont="1" applyAlignment="1">
      <alignment horizontal="center"/>
    </xf>
    <xf numFmtId="165" fontId="8" fillId="0" borderId="1" xfId="1" applyNumberFormat="1" applyFont="1" applyBorder="1" applyAlignment="1">
      <alignment horizontal="center"/>
    </xf>
    <xf numFmtId="165" fontId="8" fillId="0" borderId="3" xfId="1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7" fontId="0" fillId="0" borderId="0" xfId="2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2" applyNumberFormat="1" applyFont="1" applyAlignment="1">
      <alignment horizontal="center"/>
    </xf>
    <xf numFmtId="168" fontId="0" fillId="0" borderId="1" xfId="2" applyNumberFormat="1" applyFont="1" applyBorder="1" applyAlignment="1">
      <alignment horizontal="center"/>
    </xf>
    <xf numFmtId="164" fontId="0" fillId="0" borderId="0" xfId="2" applyNumberFormat="1" applyFont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14" fillId="2" borderId="0" xfId="0" applyFont="1" applyFill="1" applyAlignment="1"/>
    <xf numFmtId="0" fontId="12" fillId="2" borderId="0" xfId="0" applyFont="1" applyFill="1" applyAlignment="1"/>
    <xf numFmtId="49" fontId="13" fillId="2" borderId="0" xfId="0" applyNumberFormat="1" applyFont="1" applyFill="1" applyAlignment="1"/>
    <xf numFmtId="0" fontId="13" fillId="2" borderId="0" xfId="0" applyFont="1" applyFill="1" applyAlignment="1"/>
    <xf numFmtId="0" fontId="0" fillId="0" borderId="0" xfId="0" applyAlignment="1"/>
    <xf numFmtId="0" fontId="15" fillId="0" borderId="8" xfId="0" applyFont="1" applyBorder="1" applyAlignment="1"/>
    <xf numFmtId="0" fontId="0" fillId="0" borderId="9" xfId="0" applyBorder="1" applyAlignment="1"/>
    <xf numFmtId="0" fontId="0" fillId="0" borderId="10" xfId="0" applyBorder="1" applyAlignment="1"/>
    <xf numFmtId="0" fontId="16" fillId="0" borderId="11" xfId="0" applyFont="1" applyBorder="1" applyAlignment="1"/>
    <xf numFmtId="0" fontId="0" fillId="0" borderId="0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3" xfId="0" applyBorder="1" applyAlignment="1"/>
    <xf numFmtId="0" fontId="0" fillId="0" borderId="14" xfId="0" applyBorder="1" applyAlignment="1"/>
    <xf numFmtId="0" fontId="15" fillId="0" borderId="0" xfId="0" applyFont="1" applyAlignment="1"/>
    <xf numFmtId="0" fontId="17" fillId="0" borderId="0" xfId="0" applyFont="1" applyFill="1" applyAlignment="1"/>
    <xf numFmtId="0" fontId="18" fillId="0" borderId="0" xfId="0" applyFont="1" applyAlignment="1"/>
  </cellXfs>
  <cellStyles count="3">
    <cellStyle name="Currency" xfId="1" builtinId="4"/>
    <cellStyle name="Normal" xfId="0" builtinId="0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133B63"/>
      <color rgb="FFFF4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0A84-0BF2-C74A-8BCF-89656B3525DD}">
  <dimension ref="A1:I32"/>
  <sheetViews>
    <sheetView showGridLines="0" zoomScale="140" zoomScaleNormal="140" workbookViewId="0">
      <selection activeCell="C31" sqref="C31"/>
    </sheetView>
  </sheetViews>
  <sheetFormatPr baseColWidth="10" defaultRowHeight="16" x14ac:dyDescent="0.2"/>
  <cols>
    <col min="1" max="1" width="2.83203125" style="62" customWidth="1"/>
    <col min="2" max="2" width="22.83203125" style="62" customWidth="1"/>
    <col min="3" max="3" width="50.83203125" style="62" customWidth="1"/>
    <col min="4" max="9" width="10.83203125" style="62"/>
  </cols>
  <sheetData>
    <row r="1" spans="1:9" s="51" customFormat="1" x14ac:dyDescent="0.2">
      <c r="A1" s="54"/>
      <c r="B1" s="54"/>
      <c r="C1" s="54"/>
      <c r="D1" s="54"/>
      <c r="E1" s="54"/>
      <c r="F1" s="54"/>
      <c r="G1" s="54"/>
      <c r="H1" s="54"/>
      <c r="I1" s="54"/>
    </row>
    <row r="2" spans="1:9" s="51" customFormat="1" x14ac:dyDescent="0.2">
      <c r="A2" s="54"/>
      <c r="B2" s="55" t="s">
        <v>115</v>
      </c>
      <c r="C2" s="54"/>
      <c r="D2" s="54"/>
      <c r="E2" s="54"/>
      <c r="F2" s="54"/>
      <c r="G2" s="54"/>
      <c r="H2" s="54"/>
      <c r="I2" s="54"/>
    </row>
    <row r="3" spans="1:9" s="51" customFormat="1" ht="29" x14ac:dyDescent="0.35">
      <c r="A3" s="54"/>
      <c r="B3" s="56" t="s">
        <v>116</v>
      </c>
      <c r="C3" s="54"/>
      <c r="D3" s="54"/>
      <c r="E3" s="54"/>
      <c r="F3" s="54"/>
      <c r="G3" s="54"/>
      <c r="H3" s="54"/>
      <c r="I3" s="54"/>
    </row>
    <row r="4" spans="1:9" s="51" customFormat="1" x14ac:dyDescent="0.2">
      <c r="A4" s="54"/>
      <c r="B4" s="57" t="s">
        <v>117</v>
      </c>
      <c r="C4" s="54"/>
      <c r="D4" s="54"/>
      <c r="E4" s="54"/>
      <c r="F4" s="54"/>
      <c r="G4" s="54"/>
      <c r="H4" s="54"/>
      <c r="I4" s="54"/>
    </row>
    <row r="5" spans="1:9" s="51" customFormat="1" x14ac:dyDescent="0.2">
      <c r="A5" s="54"/>
      <c r="B5" s="54"/>
      <c r="C5" s="54"/>
      <c r="D5" s="54"/>
      <c r="E5" s="54"/>
      <c r="F5" s="54"/>
      <c r="G5" s="54"/>
      <c r="H5" s="54"/>
      <c r="I5" s="54"/>
    </row>
    <row r="6" spans="1:9" s="51" customFormat="1" x14ac:dyDescent="0.2">
      <c r="A6" s="54"/>
      <c r="B6" s="54"/>
      <c r="C6" s="54"/>
      <c r="D6" s="54"/>
      <c r="E6" s="54"/>
      <c r="F6" s="54"/>
      <c r="G6" s="54"/>
      <c r="H6" s="54"/>
      <c r="I6" s="54"/>
    </row>
    <row r="7" spans="1:9" s="51" customFormat="1" x14ac:dyDescent="0.2">
      <c r="A7" s="54"/>
      <c r="B7" s="58" t="s">
        <v>118</v>
      </c>
      <c r="C7" s="59" t="s">
        <v>119</v>
      </c>
      <c r="D7" s="54"/>
      <c r="E7" s="54"/>
      <c r="F7" s="54"/>
      <c r="G7" s="54"/>
      <c r="H7" s="54"/>
      <c r="I7" s="54"/>
    </row>
    <row r="8" spans="1:9" s="51" customFormat="1" x14ac:dyDescent="0.2">
      <c r="A8" s="54"/>
      <c r="B8" s="58" t="s">
        <v>120</v>
      </c>
      <c r="C8" s="60" t="s">
        <v>121</v>
      </c>
      <c r="D8" s="54"/>
      <c r="E8" s="54"/>
      <c r="F8" s="54"/>
      <c r="G8" s="54"/>
      <c r="H8" s="54"/>
      <c r="I8" s="54"/>
    </row>
    <row r="9" spans="1:9" s="51" customFormat="1" x14ac:dyDescent="0.2">
      <c r="A9" s="54"/>
      <c r="B9" s="58" t="s">
        <v>122</v>
      </c>
      <c r="C9" s="61" t="s">
        <v>123</v>
      </c>
      <c r="D9" s="54"/>
      <c r="E9" s="54"/>
      <c r="F9" s="54"/>
      <c r="G9" s="54"/>
      <c r="H9" s="54"/>
      <c r="I9" s="54"/>
    </row>
    <row r="10" spans="1:9" s="51" customFormat="1" x14ac:dyDescent="0.2">
      <c r="A10" s="54"/>
      <c r="B10" s="58" t="s">
        <v>124</v>
      </c>
      <c r="C10" s="59" t="s">
        <v>125</v>
      </c>
      <c r="D10" s="54"/>
      <c r="E10" s="54"/>
      <c r="F10" s="54"/>
      <c r="G10" s="54"/>
      <c r="H10" s="54"/>
      <c r="I10" s="54"/>
    </row>
    <row r="11" spans="1:9" s="51" customFormat="1" x14ac:dyDescent="0.2">
      <c r="A11" s="54"/>
      <c r="B11" s="58" t="s">
        <v>126</v>
      </c>
      <c r="C11" s="61" t="s">
        <v>127</v>
      </c>
      <c r="D11" s="54"/>
      <c r="E11" s="54"/>
      <c r="F11" s="54"/>
      <c r="G11" s="54"/>
      <c r="H11" s="54"/>
      <c r="I11" s="54"/>
    </row>
    <row r="12" spans="1:9" s="51" customFormat="1" x14ac:dyDescent="0.2">
      <c r="A12" s="54"/>
      <c r="B12" s="54"/>
      <c r="C12" s="54"/>
      <c r="D12" s="54"/>
      <c r="E12" s="54"/>
      <c r="F12" s="54"/>
      <c r="G12" s="54"/>
      <c r="H12" s="54"/>
      <c r="I12" s="54"/>
    </row>
    <row r="13" spans="1:9" ht="17" thickBot="1" x14ac:dyDescent="0.25"/>
    <row r="14" spans="1:9" x14ac:dyDescent="0.2">
      <c r="B14" s="63" t="s">
        <v>129</v>
      </c>
      <c r="C14" s="64"/>
      <c r="D14" s="64"/>
      <c r="E14" s="64"/>
      <c r="F14" s="64"/>
      <c r="G14" s="64"/>
      <c r="H14" s="65"/>
    </row>
    <row r="15" spans="1:9" ht="18" x14ac:dyDescent="0.25">
      <c r="B15" s="66" t="s">
        <v>130</v>
      </c>
      <c r="C15" s="67"/>
      <c r="D15" s="67"/>
      <c r="E15" s="67"/>
      <c r="F15" s="67"/>
      <c r="G15" s="67"/>
      <c r="H15" s="68"/>
    </row>
    <row r="16" spans="1:9" ht="17" thickBot="1" x14ac:dyDescent="0.25">
      <c r="B16" s="69"/>
      <c r="C16" s="70"/>
      <c r="D16" s="70"/>
      <c r="E16" s="70"/>
      <c r="F16" s="70"/>
      <c r="G16" s="70"/>
      <c r="H16" s="71"/>
    </row>
    <row r="19" spans="2:6" x14ac:dyDescent="0.2">
      <c r="B19" s="72" t="s">
        <v>131</v>
      </c>
    </row>
    <row r="20" spans="2:6" x14ac:dyDescent="0.2">
      <c r="B20" s="72" t="s">
        <v>132</v>
      </c>
      <c r="C20" s="73" t="s">
        <v>133</v>
      </c>
      <c r="D20" s="73"/>
      <c r="E20" s="73"/>
      <c r="F20" s="73"/>
    </row>
    <row r="21" spans="2:6" x14ac:dyDescent="0.2">
      <c r="B21" s="72" t="s">
        <v>134</v>
      </c>
      <c r="C21" s="73" t="s">
        <v>136</v>
      </c>
      <c r="D21" s="73"/>
      <c r="E21" s="73"/>
      <c r="F21" s="73"/>
    </row>
    <row r="22" spans="2:6" x14ac:dyDescent="0.2">
      <c r="B22" s="72" t="s">
        <v>135</v>
      </c>
      <c r="C22" s="73" t="s">
        <v>137</v>
      </c>
      <c r="D22" s="73"/>
      <c r="E22" s="73"/>
      <c r="F22" s="73"/>
    </row>
    <row r="23" spans="2:6" x14ac:dyDescent="0.2">
      <c r="B23" s="72" t="s">
        <v>109</v>
      </c>
      <c r="C23" s="73" t="s">
        <v>138</v>
      </c>
      <c r="D23" s="73"/>
      <c r="E23" s="73"/>
      <c r="F23" s="73"/>
    </row>
    <row r="32" spans="2:6" x14ac:dyDescent="0.2">
      <c r="B32" s="74" t="s">
        <v>139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6A80-E94A-F047-A777-F3443E4F2961}">
  <dimension ref="A1:F27"/>
  <sheetViews>
    <sheetView showGridLines="0" zoomScale="140" zoomScaleNormal="140" workbookViewId="0">
      <pane ySplit="3" topLeftCell="A4" activePane="bottomLeft" state="frozen"/>
      <selection pane="bottomLeft" activeCell="G21" sqref="G21"/>
    </sheetView>
  </sheetViews>
  <sheetFormatPr baseColWidth="10" defaultRowHeight="16" x14ac:dyDescent="0.2"/>
  <cols>
    <col min="1" max="1" width="37" bestFit="1" customWidth="1"/>
    <col min="2" max="4" width="15" style="31" bestFit="1" customWidth="1"/>
    <col min="5" max="5" width="15" style="10" bestFit="1" customWidth="1"/>
  </cols>
  <sheetData>
    <row r="1" spans="1:6" x14ac:dyDescent="0.2">
      <c r="A1" s="52" t="s">
        <v>50</v>
      </c>
      <c r="B1" s="52"/>
      <c r="C1" s="52"/>
      <c r="D1" s="52"/>
      <c r="E1" s="52"/>
      <c r="F1" s="1"/>
    </row>
    <row r="3" spans="1:6" s="5" customFormat="1" ht="17" thickBot="1" x14ac:dyDescent="0.25">
      <c r="A3" s="12" t="s">
        <v>0</v>
      </c>
      <c r="B3" s="13" t="s">
        <v>23</v>
      </c>
      <c r="C3" s="14" t="s">
        <v>1</v>
      </c>
      <c r="D3" s="14" t="s">
        <v>2</v>
      </c>
      <c r="E3" s="14" t="s">
        <v>3</v>
      </c>
    </row>
    <row r="4" spans="1:6" s="4" customFormat="1" x14ac:dyDescent="0.2">
      <c r="A4" s="7" t="s">
        <v>4</v>
      </c>
      <c r="B4" s="38">
        <v>2579568</v>
      </c>
      <c r="C4" s="38">
        <v>2239324</v>
      </c>
      <c r="D4" s="38">
        <v>2184258</v>
      </c>
      <c r="E4" s="38">
        <v>2249266</v>
      </c>
      <c r="F4" s="11"/>
    </row>
    <row r="5" spans="1:6" x14ac:dyDescent="0.2">
      <c r="A5" s="2" t="s">
        <v>5</v>
      </c>
      <c r="B5" s="39">
        <v>-2022819</v>
      </c>
      <c r="C5" s="39">
        <v>-1773222</v>
      </c>
      <c r="D5" s="39">
        <v>-1710194</v>
      </c>
      <c r="E5" s="39">
        <v>-1761415</v>
      </c>
    </row>
    <row r="6" spans="1:6" x14ac:dyDescent="0.2">
      <c r="A6" t="s">
        <v>6</v>
      </c>
      <c r="B6" s="25">
        <f>B4+B5</f>
        <v>556749</v>
      </c>
      <c r="C6" s="25">
        <f>C4+C5</f>
        <v>466102</v>
      </c>
      <c r="D6" s="25">
        <f>D4+D5</f>
        <v>474064</v>
      </c>
      <c r="E6" s="25">
        <f>E4+E5</f>
        <v>487851</v>
      </c>
    </row>
    <row r="7" spans="1:6" x14ac:dyDescent="0.2">
      <c r="A7" t="s">
        <v>7</v>
      </c>
      <c r="B7" s="50">
        <f>B6/B4</f>
        <v>0.21583032507768743</v>
      </c>
      <c r="C7" s="50">
        <f>C6/C4</f>
        <v>0.20814406490530177</v>
      </c>
      <c r="D7" s="50">
        <f>D6/D4</f>
        <v>0.21703663211946575</v>
      </c>
      <c r="E7" s="50">
        <f>E6/E4</f>
        <v>0.2168934221208163</v>
      </c>
    </row>
    <row r="8" spans="1:6" x14ac:dyDescent="0.2">
      <c r="E8" s="31"/>
    </row>
    <row r="9" spans="1:6" x14ac:dyDescent="0.2">
      <c r="A9" t="s">
        <v>8</v>
      </c>
      <c r="E9" s="31"/>
    </row>
    <row r="10" spans="1:6" x14ac:dyDescent="0.2">
      <c r="A10" s="6" t="s">
        <v>21</v>
      </c>
      <c r="B10" s="40">
        <v>-338860</v>
      </c>
      <c r="C10" s="40">
        <v>-310229</v>
      </c>
      <c r="D10" s="40">
        <v>-308862</v>
      </c>
      <c r="E10" s="40">
        <v>-308842</v>
      </c>
    </row>
    <row r="11" spans="1:6" x14ac:dyDescent="0.2">
      <c r="A11" t="s">
        <v>22</v>
      </c>
      <c r="B11" s="40"/>
      <c r="C11" s="40">
        <v>-40515</v>
      </c>
      <c r="D11" s="40">
        <v>-42773</v>
      </c>
      <c r="E11" s="40">
        <v>-47515</v>
      </c>
    </row>
    <row r="12" spans="1:6" x14ac:dyDescent="0.2">
      <c r="A12" s="2" t="s">
        <v>9</v>
      </c>
      <c r="B12" s="41">
        <v>-21257</v>
      </c>
      <c r="C12" s="41">
        <v>-23053</v>
      </c>
      <c r="D12" s="41">
        <v>-25521</v>
      </c>
      <c r="E12" s="41">
        <v>-28403</v>
      </c>
    </row>
    <row r="13" spans="1:6" x14ac:dyDescent="0.2">
      <c r="A13" s="9"/>
      <c r="B13" s="30">
        <f>B10+B11+B12</f>
        <v>-360117</v>
      </c>
      <c r="C13" s="30">
        <f>C10+C11+C12</f>
        <v>-373797</v>
      </c>
      <c r="D13" s="30">
        <f>D10+D11+D12</f>
        <v>-377156</v>
      </c>
      <c r="E13" s="30">
        <f>E10+E11+E12</f>
        <v>-384760</v>
      </c>
    </row>
    <row r="14" spans="1:6" x14ac:dyDescent="0.2">
      <c r="B14" s="25"/>
      <c r="C14" s="25"/>
      <c r="D14" s="25"/>
      <c r="E14" s="25"/>
    </row>
    <row r="15" spans="1:6" x14ac:dyDescent="0.2">
      <c r="A15" t="s">
        <v>10</v>
      </c>
      <c r="B15" s="25">
        <f>B6+B13</f>
        <v>196632</v>
      </c>
      <c r="C15" s="25">
        <f>C6+C13</f>
        <v>92305</v>
      </c>
      <c r="D15" s="25">
        <f>D6+D13</f>
        <v>96908</v>
      </c>
      <c r="E15" s="25">
        <f>E6+E13</f>
        <v>103091</v>
      </c>
    </row>
    <row r="16" spans="1:6" x14ac:dyDescent="0.2">
      <c r="A16" t="s">
        <v>11</v>
      </c>
      <c r="B16" s="25">
        <f>B15+B18</f>
        <v>262087</v>
      </c>
      <c r="C16" s="25">
        <f>C15+C18</f>
        <v>162162</v>
      </c>
      <c r="D16" s="25">
        <f>D15+D18</f>
        <v>173007</v>
      </c>
      <c r="E16" s="25">
        <f>E15+E18</f>
        <v>188113</v>
      </c>
    </row>
    <row r="17" spans="1:5" x14ac:dyDescent="0.2">
      <c r="A17" t="s">
        <v>12</v>
      </c>
      <c r="B17" s="50">
        <f>B16/B4</f>
        <v>0.10160112080782518</v>
      </c>
      <c r="C17" s="50">
        <f>C16/C4</f>
        <v>7.2415603994776992E-2</v>
      </c>
      <c r="D17" s="50">
        <f>D16/D4</f>
        <v>7.9206302552171037E-2</v>
      </c>
      <c r="E17" s="50">
        <f>E16/E4</f>
        <v>8.3633060740703855E-2</v>
      </c>
    </row>
    <row r="18" spans="1:5" x14ac:dyDescent="0.2">
      <c r="A18" s="2" t="s">
        <v>13</v>
      </c>
      <c r="B18" s="41">
        <v>65455</v>
      </c>
      <c r="C18" s="41">
        <v>69857</v>
      </c>
      <c r="D18" s="41">
        <v>76099</v>
      </c>
      <c r="E18" s="41">
        <v>85022</v>
      </c>
    </row>
    <row r="19" spans="1:5" x14ac:dyDescent="0.2">
      <c r="A19" t="s">
        <v>14</v>
      </c>
      <c r="B19" s="25">
        <f>B16-B18</f>
        <v>196632</v>
      </c>
      <c r="C19" s="25">
        <f>C16-C18</f>
        <v>92305</v>
      </c>
      <c r="D19" s="25">
        <f>D16-D18</f>
        <v>96908</v>
      </c>
      <c r="E19" s="25">
        <f>E16-E18</f>
        <v>103091</v>
      </c>
    </row>
    <row r="20" spans="1:5" x14ac:dyDescent="0.2">
      <c r="E20" s="31"/>
    </row>
    <row r="21" spans="1:5" x14ac:dyDescent="0.2">
      <c r="A21" t="s">
        <v>16</v>
      </c>
      <c r="B21" s="40">
        <v>-33862</v>
      </c>
      <c r="C21" s="40">
        <v>-49406</v>
      </c>
      <c r="D21" s="40">
        <v>-41614</v>
      </c>
      <c r="E21" s="40">
        <v>-37048</v>
      </c>
    </row>
    <row r="22" spans="1:5" x14ac:dyDescent="0.2">
      <c r="A22" t="s">
        <v>15</v>
      </c>
      <c r="B22" s="25">
        <f>B19+B21</f>
        <v>162770</v>
      </c>
      <c r="C22" s="25">
        <f>C19+C21</f>
        <v>42899</v>
      </c>
      <c r="D22" s="25">
        <f>D19+D21</f>
        <v>55294</v>
      </c>
      <c r="E22" s="25">
        <f>E19+E21</f>
        <v>66043</v>
      </c>
    </row>
    <row r="23" spans="1:5" x14ac:dyDescent="0.2">
      <c r="A23" s="2" t="s">
        <v>17</v>
      </c>
      <c r="B23" s="41">
        <v>-34102</v>
      </c>
      <c r="C23" s="41">
        <v>-6851</v>
      </c>
      <c r="D23" s="41">
        <v>-8816</v>
      </c>
      <c r="E23" s="41">
        <v>2385</v>
      </c>
    </row>
    <row r="24" spans="1:5" x14ac:dyDescent="0.2">
      <c r="A24" t="s">
        <v>18</v>
      </c>
      <c r="B24" s="25">
        <f>B22+B23</f>
        <v>128668</v>
      </c>
      <c r="C24" s="25">
        <f>C22+C23</f>
        <v>36048</v>
      </c>
      <c r="D24" s="25">
        <f>D22+D23</f>
        <v>46478</v>
      </c>
      <c r="E24" s="25">
        <f>E22+E23</f>
        <v>68428</v>
      </c>
    </row>
    <row r="25" spans="1:5" x14ac:dyDescent="0.2">
      <c r="A25" t="s">
        <v>19</v>
      </c>
      <c r="B25" s="50">
        <f>B24/B4</f>
        <v>4.9879669774163735E-2</v>
      </c>
      <c r="C25" s="50">
        <f>C24/C4</f>
        <v>1.609771520333815E-2</v>
      </c>
      <c r="D25" s="50">
        <f>D24/D4</f>
        <v>2.1278621847785381E-2</v>
      </c>
      <c r="E25" s="50">
        <f>E24/E4</f>
        <v>3.0422368897231364E-2</v>
      </c>
    </row>
    <row r="26" spans="1:5" x14ac:dyDescent="0.2">
      <c r="E26" s="31"/>
    </row>
    <row r="27" spans="1:5" x14ac:dyDescent="0.2">
      <c r="A27" t="s">
        <v>20</v>
      </c>
      <c r="C27" s="32">
        <f>(C4-2579568)/2579568</f>
        <v>-0.13189960489508321</v>
      </c>
      <c r="D27" s="32">
        <f>(D4-C4)/C4</f>
        <v>-2.4590456762844503E-2</v>
      </c>
      <c r="E27" s="32">
        <f>(E4-D4)/D4</f>
        <v>2.9762051918775161E-2</v>
      </c>
    </row>
  </sheetData>
  <mergeCells count="1">
    <mergeCell ref="A1:E1"/>
  </mergeCells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3425-FD7D-0445-9339-AACF19EF58FC}">
  <dimension ref="A1:E37"/>
  <sheetViews>
    <sheetView showGridLines="0" zoomScale="140" zoomScaleNormal="140" workbookViewId="0">
      <pane ySplit="3" topLeftCell="A4" activePane="bottomLeft" state="frozen"/>
      <selection pane="bottomLeft" activeCell="F30" sqref="F30"/>
    </sheetView>
  </sheetViews>
  <sheetFormatPr baseColWidth="10" defaultRowHeight="16" x14ac:dyDescent="0.2"/>
  <cols>
    <col min="1" max="1" width="35" bestFit="1" customWidth="1"/>
    <col min="2" max="3" width="14.5" style="25" bestFit="1" customWidth="1"/>
    <col min="4" max="5" width="14.83203125" style="25" bestFit="1" customWidth="1"/>
  </cols>
  <sheetData>
    <row r="1" spans="1:5" x14ac:dyDescent="0.2">
      <c r="A1" s="52" t="s">
        <v>49</v>
      </c>
      <c r="B1" s="52"/>
      <c r="C1" s="52"/>
      <c r="D1" s="52"/>
      <c r="E1" s="52"/>
    </row>
    <row r="3" spans="1:5" s="1" customFormat="1" ht="17" thickBot="1" x14ac:dyDescent="0.25">
      <c r="A3" s="12" t="s">
        <v>0</v>
      </c>
      <c r="B3" s="23" t="s">
        <v>23</v>
      </c>
      <c r="C3" s="23" t="s">
        <v>1</v>
      </c>
      <c r="D3" s="23" t="s">
        <v>2</v>
      </c>
      <c r="E3" s="23" t="s">
        <v>3</v>
      </c>
    </row>
    <row r="4" spans="1:5" x14ac:dyDescent="0.2">
      <c r="A4" s="17" t="s">
        <v>38</v>
      </c>
    </row>
    <row r="5" spans="1:5" x14ac:dyDescent="0.2">
      <c r="A5" t="s">
        <v>24</v>
      </c>
      <c r="B5" s="40">
        <v>65068</v>
      </c>
      <c r="C5" s="40">
        <v>3643</v>
      </c>
      <c r="D5" s="40">
        <v>28111</v>
      </c>
      <c r="E5" s="40">
        <v>1815</v>
      </c>
    </row>
    <row r="6" spans="1:5" x14ac:dyDescent="0.2">
      <c r="A6" t="s">
        <v>30</v>
      </c>
      <c r="B6" s="40">
        <v>188122</v>
      </c>
      <c r="C6" s="40">
        <v>189157</v>
      </c>
      <c r="D6" s="40">
        <v>184993</v>
      </c>
      <c r="E6" s="40">
        <v>181289</v>
      </c>
    </row>
    <row r="7" spans="1:5" x14ac:dyDescent="0.2">
      <c r="A7" t="s">
        <v>25</v>
      </c>
      <c r="B7" s="40">
        <v>485758</v>
      </c>
      <c r="C7" s="40">
        <v>365777</v>
      </c>
      <c r="D7" s="40">
        <v>375718</v>
      </c>
      <c r="E7" s="40">
        <v>378543</v>
      </c>
    </row>
    <row r="8" spans="1:5" x14ac:dyDescent="0.2">
      <c r="A8" t="s">
        <v>31</v>
      </c>
      <c r="B8" s="40">
        <v>3504</v>
      </c>
      <c r="C8" s="40">
        <v>8919</v>
      </c>
      <c r="D8" s="40">
        <v>3980</v>
      </c>
      <c r="E8" s="40">
        <v>5147</v>
      </c>
    </row>
    <row r="9" spans="1:5" x14ac:dyDescent="0.2">
      <c r="A9" t="s">
        <v>32</v>
      </c>
      <c r="B9" s="40">
        <v>16754</v>
      </c>
      <c r="C9" s="40">
        <v>16556</v>
      </c>
      <c r="D9" s="40">
        <v>27840</v>
      </c>
      <c r="E9" s="40">
        <v>14080</v>
      </c>
    </row>
    <row r="10" spans="1:5" s="3" customFormat="1" x14ac:dyDescent="0.2">
      <c r="A10" s="16" t="s">
        <v>33</v>
      </c>
      <c r="B10" s="28">
        <f>SUM(B5:B9)</f>
        <v>759206</v>
      </c>
      <c r="C10" s="28">
        <f>SUM(C5:C9)</f>
        <v>584052</v>
      </c>
      <c r="D10" s="28">
        <f>SUM(D5:D9)</f>
        <v>620642</v>
      </c>
      <c r="E10" s="28">
        <f>SUM(E5:E9)</f>
        <v>580874</v>
      </c>
    </row>
    <row r="12" spans="1:5" x14ac:dyDescent="0.2">
      <c r="A12" t="s">
        <v>26</v>
      </c>
    </row>
    <row r="13" spans="1:5" x14ac:dyDescent="0.2">
      <c r="A13" t="s">
        <v>30</v>
      </c>
      <c r="B13" s="40">
        <v>6870</v>
      </c>
      <c r="C13" s="40">
        <v>7980</v>
      </c>
      <c r="D13" s="40">
        <v>28309</v>
      </c>
      <c r="E13" s="40">
        <v>15138</v>
      </c>
    </row>
    <row r="14" spans="1:5" x14ac:dyDescent="0.2">
      <c r="A14" t="s">
        <v>27</v>
      </c>
      <c r="B14" s="40">
        <v>36116</v>
      </c>
      <c r="C14" s="40">
        <v>38134</v>
      </c>
      <c r="D14" s="40">
        <v>41188</v>
      </c>
      <c r="E14" s="40">
        <v>45504</v>
      </c>
    </row>
    <row r="15" spans="1:5" x14ac:dyDescent="0.2">
      <c r="A15" t="s">
        <v>28</v>
      </c>
      <c r="B15" s="40">
        <v>158861</v>
      </c>
      <c r="C15" s="40">
        <v>157095</v>
      </c>
      <c r="D15" s="40">
        <v>196101</v>
      </c>
      <c r="E15" s="40">
        <v>231298</v>
      </c>
    </row>
    <row r="16" spans="1:5" x14ac:dyDescent="0.2">
      <c r="A16" t="s">
        <v>34</v>
      </c>
      <c r="B16" s="40">
        <v>282000</v>
      </c>
      <c r="C16" s="40">
        <v>260098</v>
      </c>
      <c r="D16" s="40">
        <v>305459</v>
      </c>
      <c r="E16" s="40">
        <v>277846</v>
      </c>
    </row>
    <row r="17" spans="1:5" x14ac:dyDescent="0.2">
      <c r="A17" t="s">
        <v>35</v>
      </c>
      <c r="B17" s="40">
        <v>5671</v>
      </c>
      <c r="C17" s="40">
        <v>3632</v>
      </c>
      <c r="D17" s="40">
        <v>5456</v>
      </c>
      <c r="E17" s="40">
        <v>21825</v>
      </c>
    </row>
    <row r="18" spans="1:5" x14ac:dyDescent="0.2">
      <c r="A18" t="s">
        <v>29</v>
      </c>
      <c r="B18" s="40">
        <v>180250</v>
      </c>
      <c r="C18" s="40">
        <v>181128</v>
      </c>
      <c r="D18" s="40">
        <v>200496</v>
      </c>
      <c r="E18" s="40">
        <v>200496</v>
      </c>
    </row>
    <row r="19" spans="1:5" s="3" customFormat="1" x14ac:dyDescent="0.2">
      <c r="A19" s="16" t="s">
        <v>36</v>
      </c>
      <c r="B19" s="28">
        <f>SUM(B13:B18)</f>
        <v>669768</v>
      </c>
      <c r="C19" s="28">
        <f>SUM(C13:C18)</f>
        <v>648067</v>
      </c>
      <c r="D19" s="28">
        <f>SUM(D13:D18)</f>
        <v>777009</v>
      </c>
      <c r="E19" s="28">
        <f>SUM(E13:E18)</f>
        <v>792107</v>
      </c>
    </row>
    <row r="20" spans="1:5" s="1" customFormat="1" ht="17" thickBot="1" x14ac:dyDescent="0.25">
      <c r="A20" s="15" t="s">
        <v>37</v>
      </c>
      <c r="B20" s="29">
        <f>B10+B19</f>
        <v>1428974</v>
      </c>
      <c r="C20" s="29">
        <f>C10+C19</f>
        <v>1232119</v>
      </c>
      <c r="D20" s="29">
        <f t="shared" ref="D20:E20" si="0">D10+D19</f>
        <v>1397651</v>
      </c>
      <c r="E20" s="29">
        <f t="shared" si="0"/>
        <v>1372981</v>
      </c>
    </row>
    <row r="22" spans="1:5" x14ac:dyDescent="0.2">
      <c r="A22" s="17" t="s">
        <v>39</v>
      </c>
    </row>
    <row r="23" spans="1:5" x14ac:dyDescent="0.2">
      <c r="A23" t="s">
        <v>40</v>
      </c>
      <c r="B23" s="40">
        <v>264368</v>
      </c>
      <c r="C23" s="40">
        <v>59050</v>
      </c>
      <c r="D23" s="40">
        <v>115347</v>
      </c>
      <c r="E23" s="40">
        <v>122250</v>
      </c>
    </row>
    <row r="24" spans="1:5" x14ac:dyDescent="0.2">
      <c r="A24" t="s">
        <v>41</v>
      </c>
      <c r="B24" s="40">
        <v>129197</v>
      </c>
      <c r="C24" s="40">
        <v>131993</v>
      </c>
      <c r="D24" s="40">
        <v>121080</v>
      </c>
      <c r="E24" s="40">
        <v>107808</v>
      </c>
    </row>
    <row r="25" spans="1:5" x14ac:dyDescent="0.2">
      <c r="A25" t="s">
        <v>42</v>
      </c>
      <c r="B25" s="40">
        <v>37690</v>
      </c>
      <c r="C25" s="40">
        <v>34309</v>
      </c>
      <c r="D25" s="40">
        <v>39305</v>
      </c>
      <c r="E25" s="40">
        <v>45347</v>
      </c>
    </row>
    <row r="26" spans="1:5" x14ac:dyDescent="0.2">
      <c r="A26" s="2" t="s">
        <v>110</v>
      </c>
      <c r="B26" s="41">
        <v>2173</v>
      </c>
      <c r="C26" s="41">
        <v>2374</v>
      </c>
      <c r="D26" s="41">
        <v>2608</v>
      </c>
      <c r="E26" s="41">
        <v>2831</v>
      </c>
    </row>
    <row r="27" spans="1:5" x14ac:dyDescent="0.2">
      <c r="A27" t="s">
        <v>43</v>
      </c>
      <c r="B27" s="25">
        <f>SUM(B23:B26)</f>
        <v>433428</v>
      </c>
      <c r="C27" s="25">
        <f>SUM(C23:C26)</f>
        <v>227726</v>
      </c>
      <c r="D27" s="25">
        <f t="shared" ref="D27" si="1">SUM(D23:D26)</f>
        <v>278340</v>
      </c>
      <c r="E27" s="25">
        <f>282890</f>
        <v>282890</v>
      </c>
    </row>
    <row r="29" spans="1:5" x14ac:dyDescent="0.2">
      <c r="A29" s="17" t="s">
        <v>44</v>
      </c>
    </row>
    <row r="30" spans="1:5" x14ac:dyDescent="0.2">
      <c r="A30" t="s">
        <v>40</v>
      </c>
      <c r="B30" s="40">
        <v>351922</v>
      </c>
      <c r="C30" s="40">
        <v>333346</v>
      </c>
      <c r="D30" s="40">
        <v>295189</v>
      </c>
      <c r="E30" s="40">
        <v>198401</v>
      </c>
    </row>
    <row r="31" spans="1:5" x14ac:dyDescent="0.2">
      <c r="A31" t="s">
        <v>42</v>
      </c>
      <c r="B31" s="40">
        <v>135877</v>
      </c>
      <c r="C31" s="40">
        <v>137324</v>
      </c>
      <c r="D31" s="40">
        <v>173225</v>
      </c>
      <c r="E31" s="40">
        <v>208935</v>
      </c>
    </row>
    <row r="32" spans="1:5" x14ac:dyDescent="0.2">
      <c r="A32" s="2" t="s">
        <v>45</v>
      </c>
      <c r="B32" s="41">
        <v>775</v>
      </c>
      <c r="C32" s="41">
        <v>6856</v>
      </c>
      <c r="D32" s="40">
        <v>10023</v>
      </c>
      <c r="E32" s="40">
        <v>5768</v>
      </c>
    </row>
    <row r="33" spans="1:5" x14ac:dyDescent="0.2">
      <c r="A33" t="s">
        <v>46</v>
      </c>
      <c r="B33" s="25">
        <f>SUM(B30:B32)</f>
        <v>488574</v>
      </c>
      <c r="C33" s="25">
        <f>SUM(C30:C32)</f>
        <v>477526</v>
      </c>
      <c r="D33" s="30">
        <v>484739</v>
      </c>
      <c r="E33" s="30">
        <v>420070</v>
      </c>
    </row>
    <row r="34" spans="1:5" s="1" customFormat="1" ht="17" thickBot="1" x14ac:dyDescent="0.25">
      <c r="A34" s="15" t="s">
        <v>128</v>
      </c>
      <c r="B34" s="29">
        <f>B27+B33</f>
        <v>922002</v>
      </c>
      <c r="C34" s="29">
        <f>C27+C33</f>
        <v>705252</v>
      </c>
      <c r="D34" s="29">
        <f t="shared" ref="D34:E34" si="2">D27+D33</f>
        <v>763079</v>
      </c>
      <c r="E34" s="29">
        <f t="shared" si="2"/>
        <v>702960</v>
      </c>
    </row>
    <row r="36" spans="1:5" s="1" customFormat="1" x14ac:dyDescent="0.2">
      <c r="A36" s="1" t="s">
        <v>47</v>
      </c>
      <c r="B36" s="38">
        <v>506972</v>
      </c>
      <c r="C36" s="38">
        <v>526867</v>
      </c>
      <c r="D36" s="38">
        <v>634572</v>
      </c>
      <c r="E36" s="38">
        <v>670021</v>
      </c>
    </row>
    <row r="37" spans="1:5" s="1" customFormat="1" ht="17" thickBot="1" x14ac:dyDescent="0.25">
      <c r="A37" s="15" t="s">
        <v>48</v>
      </c>
      <c r="B37" s="29">
        <f>B34+B36</f>
        <v>1428974</v>
      </c>
      <c r="C37" s="29">
        <f>C34+C36</f>
        <v>1232119</v>
      </c>
      <c r="D37" s="29">
        <f t="shared" ref="D37:E37" si="3">D34+D36</f>
        <v>1397651</v>
      </c>
      <c r="E37" s="29">
        <f t="shared" si="3"/>
        <v>1372981</v>
      </c>
    </row>
  </sheetData>
  <mergeCells count="1">
    <mergeCell ref="A1:E1"/>
  </mergeCells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78FE-C080-3E4F-A8A9-701A16CB80AF}">
  <dimension ref="A1:N52"/>
  <sheetViews>
    <sheetView showGridLines="0" zoomScale="140" zoomScaleNormal="140" workbookViewId="0">
      <pane ySplit="3" topLeftCell="A4" activePane="bottomLeft" state="frozen"/>
      <selection pane="bottomLeft" activeCell="G25" sqref="G25"/>
    </sheetView>
  </sheetViews>
  <sheetFormatPr baseColWidth="10" defaultRowHeight="16" x14ac:dyDescent="0.2"/>
  <cols>
    <col min="1" max="1" width="47.5" bestFit="1" customWidth="1"/>
    <col min="2" max="3" width="13.83203125" style="25" customWidth="1"/>
    <col min="4" max="4" width="14.6640625" style="25" customWidth="1"/>
    <col min="5" max="5" width="14.5" style="25" bestFit="1" customWidth="1"/>
    <col min="10" max="10" width="25.33203125" bestFit="1" customWidth="1"/>
    <col min="11" max="12" width="12.83203125" bestFit="1" customWidth="1"/>
    <col min="13" max="13" width="11.83203125" bestFit="1" customWidth="1"/>
    <col min="14" max="14" width="13.5" bestFit="1" customWidth="1"/>
  </cols>
  <sheetData>
    <row r="1" spans="1:5" x14ac:dyDescent="0.2">
      <c r="A1" s="52" t="s">
        <v>51</v>
      </c>
      <c r="B1" s="53"/>
      <c r="C1" s="53"/>
      <c r="D1" s="53"/>
      <c r="E1" s="53"/>
    </row>
    <row r="3" spans="1:5" s="5" customFormat="1" ht="17" thickBot="1" x14ac:dyDescent="0.25">
      <c r="A3" s="18" t="s">
        <v>0</v>
      </c>
      <c r="B3" s="23" t="s">
        <v>23</v>
      </c>
      <c r="C3" s="23" t="s">
        <v>1</v>
      </c>
      <c r="D3" s="23" t="s">
        <v>2</v>
      </c>
      <c r="E3" s="23" t="s">
        <v>3</v>
      </c>
    </row>
    <row r="4" spans="1:5" s="5" customFormat="1" x14ac:dyDescent="0.2">
      <c r="A4" s="20" t="s">
        <v>59</v>
      </c>
      <c r="B4" s="24"/>
      <c r="C4" s="24"/>
      <c r="D4" s="24"/>
      <c r="E4" s="24"/>
    </row>
    <row r="5" spans="1:5" x14ac:dyDescent="0.2">
      <c r="A5" t="s">
        <v>60</v>
      </c>
      <c r="B5" s="40">
        <v>128668</v>
      </c>
      <c r="C5" s="40">
        <v>36048</v>
      </c>
      <c r="D5" s="40">
        <v>46478</v>
      </c>
      <c r="E5" s="40">
        <v>68428</v>
      </c>
    </row>
    <row r="6" spans="1:5" x14ac:dyDescent="0.2">
      <c r="A6" t="s">
        <v>61</v>
      </c>
      <c r="B6" s="40"/>
      <c r="C6" s="40"/>
      <c r="D6" s="40"/>
      <c r="E6" s="40"/>
    </row>
    <row r="7" spans="1:5" x14ac:dyDescent="0.2">
      <c r="A7" t="s">
        <v>62</v>
      </c>
      <c r="B7" s="40">
        <v>65455</v>
      </c>
      <c r="C7" s="40">
        <v>69857</v>
      </c>
      <c r="D7" s="40">
        <v>76099</v>
      </c>
      <c r="E7" s="40">
        <v>85022</v>
      </c>
    </row>
    <row r="8" spans="1:5" x14ac:dyDescent="0.2">
      <c r="A8" t="s">
        <v>63</v>
      </c>
      <c r="B8" s="40">
        <v>-396</v>
      </c>
      <c r="C8" s="40">
        <v>-597</v>
      </c>
      <c r="D8" s="40">
        <v>-430</v>
      </c>
      <c r="E8" s="40">
        <v>625</v>
      </c>
    </row>
    <row r="9" spans="1:5" x14ac:dyDescent="0.2">
      <c r="A9" t="s">
        <v>64</v>
      </c>
      <c r="B9" s="40"/>
      <c r="C9" s="40"/>
      <c r="D9" s="40"/>
      <c r="E9" s="40">
        <v>-1423</v>
      </c>
    </row>
    <row r="10" spans="1:5" x14ac:dyDescent="0.2">
      <c r="A10" t="s">
        <v>65</v>
      </c>
      <c r="B10" s="40">
        <v>3899</v>
      </c>
      <c r="C10" s="40">
        <v>7440</v>
      </c>
      <c r="D10" s="40">
        <v>9309</v>
      </c>
      <c r="E10" s="40">
        <v>9540</v>
      </c>
    </row>
    <row r="11" spans="1:5" x14ac:dyDescent="0.2">
      <c r="A11" t="s">
        <v>66</v>
      </c>
      <c r="B11" s="40">
        <v>34102</v>
      </c>
      <c r="C11" s="40">
        <v>6851</v>
      </c>
      <c r="D11" s="40">
        <v>8816</v>
      </c>
      <c r="E11" s="40">
        <v>-2385</v>
      </c>
    </row>
    <row r="12" spans="1:5" x14ac:dyDescent="0.2">
      <c r="A12" t="s">
        <v>67</v>
      </c>
      <c r="B12" s="40">
        <v>33862</v>
      </c>
      <c r="C12" s="40">
        <v>49406</v>
      </c>
      <c r="D12" s="40">
        <v>41614</v>
      </c>
      <c r="E12" s="40">
        <v>45732</v>
      </c>
    </row>
    <row r="13" spans="1:5" x14ac:dyDescent="0.2">
      <c r="A13" t="s">
        <v>68</v>
      </c>
      <c r="B13" s="40">
        <v>805</v>
      </c>
      <c r="C13" s="40">
        <v>625</v>
      </c>
      <c r="D13" s="40">
        <v>911</v>
      </c>
      <c r="E13" s="40">
        <v>3249</v>
      </c>
    </row>
    <row r="14" spans="1:5" x14ac:dyDescent="0.2">
      <c r="A14" t="s">
        <v>69</v>
      </c>
      <c r="B14" s="40">
        <v>-30383</v>
      </c>
      <c r="C14" s="40">
        <v>-42664</v>
      </c>
      <c r="D14" s="40">
        <v>-34290</v>
      </c>
      <c r="E14" s="40">
        <v>-36716</v>
      </c>
    </row>
    <row r="15" spans="1:5" ht="17" thickBot="1" x14ac:dyDescent="0.25">
      <c r="A15" s="21" t="s">
        <v>70</v>
      </c>
      <c r="B15" s="42">
        <v>-53362</v>
      </c>
      <c r="C15" s="42">
        <v>-8775</v>
      </c>
      <c r="D15" s="42">
        <v>-724</v>
      </c>
      <c r="E15" s="42">
        <v>-8619</v>
      </c>
    </row>
    <row r="16" spans="1:5" x14ac:dyDescent="0.2">
      <c r="B16" s="25">
        <f t="shared" ref="B16:C16" si="0">SUM(B5:B15)</f>
        <v>182650</v>
      </c>
      <c r="C16" s="25">
        <f t="shared" si="0"/>
        <v>118191</v>
      </c>
      <c r="D16" s="25">
        <f>SUM(D5:D15)</f>
        <v>147783</v>
      </c>
      <c r="E16" s="25">
        <f>SUM(E5:E15)</f>
        <v>163453</v>
      </c>
    </row>
    <row r="17" spans="1:14" x14ac:dyDescent="0.2">
      <c r="A17" t="s">
        <v>71</v>
      </c>
    </row>
    <row r="18" spans="1:14" x14ac:dyDescent="0.2">
      <c r="A18" t="s">
        <v>72</v>
      </c>
      <c r="B18" s="40">
        <v>15576</v>
      </c>
      <c r="C18" s="40">
        <v>-248</v>
      </c>
      <c r="D18" s="40">
        <v>16929</v>
      </c>
      <c r="E18" s="40">
        <v>9923</v>
      </c>
    </row>
    <row r="19" spans="1:14" x14ac:dyDescent="0.2">
      <c r="A19" t="s">
        <v>73</v>
      </c>
      <c r="B19" s="40">
        <v>6125</v>
      </c>
      <c r="C19" s="40">
        <v>120823</v>
      </c>
      <c r="D19" s="40">
        <v>10927</v>
      </c>
      <c r="E19" s="40">
        <v>-1565</v>
      </c>
    </row>
    <row r="20" spans="1:14" x14ac:dyDescent="0.2">
      <c r="A20" t="s">
        <v>74</v>
      </c>
      <c r="B20" s="40">
        <v>15583</v>
      </c>
      <c r="C20" s="40">
        <v>237</v>
      </c>
      <c r="D20" s="40">
        <v>-11373</v>
      </c>
      <c r="E20" s="40">
        <v>13821</v>
      </c>
    </row>
    <row r="21" spans="1:14" ht="17" thickBot="1" x14ac:dyDescent="0.25">
      <c r="A21" s="21" t="s">
        <v>75</v>
      </c>
      <c r="B21" s="42">
        <v>-9249</v>
      </c>
      <c r="C21" s="42">
        <v>-924</v>
      </c>
      <c r="D21" s="42">
        <v>-21514</v>
      </c>
      <c r="E21" s="42">
        <v>-24992</v>
      </c>
    </row>
    <row r="22" spans="1:14" ht="17" thickBot="1" x14ac:dyDescent="0.25">
      <c r="A22" s="21"/>
      <c r="B22" s="26">
        <f t="shared" ref="B22:C22" si="1">SUM(B18:B21)</f>
        <v>28035</v>
      </c>
      <c r="C22" s="26">
        <f t="shared" si="1"/>
        <v>119888</v>
      </c>
      <c r="D22" s="26">
        <f>SUM(D18:D21)</f>
        <v>-5031</v>
      </c>
      <c r="E22" s="26">
        <f>SUM(E18:E21)</f>
        <v>-2813</v>
      </c>
    </row>
    <row r="23" spans="1:14" ht="17" thickBot="1" x14ac:dyDescent="0.25">
      <c r="A23" s="22" t="s">
        <v>76</v>
      </c>
      <c r="B23" s="27">
        <f t="shared" ref="B23:C23" si="2">B16+B22</f>
        <v>210685</v>
      </c>
      <c r="C23" s="27">
        <f t="shared" si="2"/>
        <v>238079</v>
      </c>
      <c r="D23" s="27">
        <f>D16+D22</f>
        <v>142752</v>
      </c>
      <c r="E23" s="27">
        <f>E16+E22</f>
        <v>160640</v>
      </c>
    </row>
    <row r="24" spans="1:14" x14ac:dyDescent="0.2">
      <c r="A24" t="s">
        <v>112</v>
      </c>
      <c r="B24" s="25">
        <f>B23+(B38+B41)</f>
        <v>199875</v>
      </c>
      <c r="C24" s="25">
        <f t="shared" ref="C24:E24" si="3">C23+(C38+C41)</f>
        <v>226298</v>
      </c>
      <c r="D24" s="25">
        <f t="shared" si="3"/>
        <v>133545</v>
      </c>
      <c r="E24" s="25">
        <f t="shared" si="3"/>
        <v>146379</v>
      </c>
    </row>
    <row r="26" spans="1:14" x14ac:dyDescent="0.2">
      <c r="A26" s="17" t="s">
        <v>77</v>
      </c>
    </row>
    <row r="27" spans="1:14" x14ac:dyDescent="0.2">
      <c r="A27" t="s">
        <v>84</v>
      </c>
      <c r="B27" s="40">
        <v>100000</v>
      </c>
      <c r="C27" s="40"/>
      <c r="D27" s="40"/>
      <c r="E27" s="40"/>
    </row>
    <row r="28" spans="1:14" x14ac:dyDescent="0.2">
      <c r="A28" t="s">
        <v>78</v>
      </c>
      <c r="B28" s="40">
        <v>-20000</v>
      </c>
      <c r="C28" s="40">
        <v>-20000</v>
      </c>
      <c r="D28" s="40">
        <v>-40000</v>
      </c>
      <c r="E28" s="40">
        <v>-102501</v>
      </c>
    </row>
    <row r="29" spans="1:14" x14ac:dyDescent="0.2">
      <c r="A29" t="s">
        <v>79</v>
      </c>
      <c r="B29" s="40"/>
      <c r="C29" s="40"/>
      <c r="D29" s="40">
        <v>58223</v>
      </c>
      <c r="E29" s="40">
        <v>12629</v>
      </c>
    </row>
    <row r="30" spans="1:14" x14ac:dyDescent="0.2">
      <c r="A30" t="s">
        <v>85</v>
      </c>
      <c r="B30" s="40">
        <v>124730</v>
      </c>
      <c r="C30" s="40">
        <v>-203595</v>
      </c>
      <c r="D30" s="40"/>
      <c r="E30" s="40"/>
    </row>
    <row r="31" spans="1:14" x14ac:dyDescent="0.2">
      <c r="A31" t="s">
        <v>80</v>
      </c>
      <c r="B31" s="40">
        <v>-40138</v>
      </c>
      <c r="C31" s="40">
        <v>-44596</v>
      </c>
      <c r="D31" s="40">
        <v>-48050</v>
      </c>
      <c r="E31" s="40">
        <v>-54339</v>
      </c>
      <c r="K31" s="35"/>
      <c r="L31" s="35"/>
      <c r="M31" s="35"/>
      <c r="N31" s="35"/>
    </row>
    <row r="32" spans="1:14" x14ac:dyDescent="0.2">
      <c r="A32" t="s">
        <v>81</v>
      </c>
      <c r="B32" s="40"/>
      <c r="C32" s="40"/>
      <c r="D32" s="40">
        <v>69458</v>
      </c>
      <c r="E32" s="40"/>
      <c r="K32" s="35"/>
      <c r="L32" s="35"/>
      <c r="M32" s="35"/>
      <c r="N32" s="35"/>
    </row>
    <row r="33" spans="1:14" x14ac:dyDescent="0.2">
      <c r="A33" t="s">
        <v>82</v>
      </c>
      <c r="B33" s="40">
        <v>-27135</v>
      </c>
      <c r="C33" s="40">
        <v>-9244</v>
      </c>
      <c r="D33" s="40"/>
      <c r="E33" s="40">
        <v>-18815</v>
      </c>
      <c r="K33" s="8"/>
      <c r="L33" s="8"/>
      <c r="M33" s="8"/>
      <c r="N33" s="8"/>
    </row>
    <row r="34" spans="1:14" ht="17" thickBot="1" x14ac:dyDescent="0.25">
      <c r="A34" s="21" t="s">
        <v>83</v>
      </c>
      <c r="B34" s="42">
        <v>-8849</v>
      </c>
      <c r="C34" s="42">
        <v>-8555</v>
      </c>
      <c r="D34" s="42">
        <v>-9632</v>
      </c>
      <c r="E34" s="42">
        <v>-10657</v>
      </c>
      <c r="K34" s="8"/>
      <c r="L34" s="8"/>
      <c r="M34" s="8"/>
      <c r="N34" s="8"/>
    </row>
    <row r="35" spans="1:14" ht="17" thickBot="1" x14ac:dyDescent="0.25">
      <c r="A35" s="21" t="s">
        <v>87</v>
      </c>
      <c r="B35" s="26">
        <f>SUM(B27:B34)</f>
        <v>128608</v>
      </c>
      <c r="C35" s="26">
        <f>SUM(C28:C34)</f>
        <v>-285990</v>
      </c>
      <c r="D35" s="26">
        <f>SUM(D28:D34)</f>
        <v>29999</v>
      </c>
      <c r="E35" s="26">
        <f>SUM(E28:E34)</f>
        <v>-173683</v>
      </c>
    </row>
    <row r="37" spans="1:14" x14ac:dyDescent="0.2">
      <c r="A37" s="17" t="s">
        <v>86</v>
      </c>
    </row>
    <row r="38" spans="1:14" x14ac:dyDescent="0.2">
      <c r="A38" t="s">
        <v>88</v>
      </c>
      <c r="B38" s="40">
        <v>-7859</v>
      </c>
      <c r="C38" s="40">
        <v>-10635</v>
      </c>
      <c r="D38" s="40">
        <v>-8200</v>
      </c>
      <c r="E38" s="40">
        <v>-13361</v>
      </c>
    </row>
    <row r="39" spans="1:14" x14ac:dyDescent="0.2">
      <c r="A39" t="s">
        <v>89</v>
      </c>
      <c r="B39" s="40">
        <v>771</v>
      </c>
      <c r="C39" s="40">
        <v>700</v>
      </c>
      <c r="D39" s="40">
        <v>327</v>
      </c>
      <c r="E39" s="40">
        <v>322</v>
      </c>
    </row>
    <row r="40" spans="1:14" x14ac:dyDescent="0.2">
      <c r="A40" t="s">
        <v>90</v>
      </c>
      <c r="B40" s="40">
        <v>-273651</v>
      </c>
      <c r="C40" s="40">
        <v>-1300</v>
      </c>
      <c r="D40" s="40">
        <v>-122250</v>
      </c>
      <c r="E40" s="40"/>
    </row>
    <row r="41" spans="1:14" x14ac:dyDescent="0.2">
      <c r="A41" t="s">
        <v>94</v>
      </c>
      <c r="B41" s="40">
        <v>-2951</v>
      </c>
      <c r="C41" s="40">
        <v>-1146</v>
      </c>
      <c r="D41" s="40">
        <v>-1007</v>
      </c>
      <c r="E41" s="40">
        <v>-900</v>
      </c>
    </row>
    <row r="42" spans="1:14" x14ac:dyDescent="0.2">
      <c r="A42" t="s">
        <v>91</v>
      </c>
      <c r="B42" s="40">
        <v>327</v>
      </c>
      <c r="C42" s="40">
        <v>-242</v>
      </c>
      <c r="D42" s="40">
        <v>-15383</v>
      </c>
      <c r="E42" s="40">
        <v>14830</v>
      </c>
    </row>
    <row r="43" spans="1:14" ht="17" thickBot="1" x14ac:dyDescent="0.25">
      <c r="A43" s="21" t="s">
        <v>92</v>
      </c>
      <c r="B43" s="42">
        <v>3893</v>
      </c>
      <c r="C43" s="42">
        <v>-858</v>
      </c>
      <c r="D43" s="42">
        <v>-945</v>
      </c>
      <c r="E43" s="42">
        <v>-7478</v>
      </c>
    </row>
    <row r="44" spans="1:14" x14ac:dyDescent="0.2">
      <c r="A44" s="33" t="s">
        <v>93</v>
      </c>
      <c r="B44" s="34">
        <f>SUM(B38:B43)</f>
        <v>-279470</v>
      </c>
      <c r="C44" s="34">
        <f>SUM(C38:C43)</f>
        <v>-13481</v>
      </c>
      <c r="D44" s="34">
        <f>SUM(D38:D43)</f>
        <v>-147458</v>
      </c>
      <c r="E44" s="34">
        <f>SUM(E38:E43)</f>
        <v>-6587</v>
      </c>
    </row>
    <row r="46" spans="1:14" x14ac:dyDescent="0.2">
      <c r="A46" t="s">
        <v>95</v>
      </c>
      <c r="B46" s="25">
        <f>SUM(B23,B35,B44)</f>
        <v>59823</v>
      </c>
      <c r="C46" s="25">
        <f t="shared" ref="C46:E46" si="4">SUM(C23,C35,C44)</f>
        <v>-61392</v>
      </c>
      <c r="D46" s="25">
        <f t="shared" si="4"/>
        <v>25293</v>
      </c>
      <c r="E46" s="25">
        <f t="shared" si="4"/>
        <v>-19630</v>
      </c>
    </row>
    <row r="48" spans="1:14" x14ac:dyDescent="0.2">
      <c r="A48" t="s">
        <v>96</v>
      </c>
      <c r="B48" s="40">
        <v>7762</v>
      </c>
      <c r="C48" s="40">
        <v>65068</v>
      </c>
      <c r="D48" s="40">
        <v>3643</v>
      </c>
      <c r="E48" s="40">
        <v>28111</v>
      </c>
    </row>
    <row r="49" spans="1:5" x14ac:dyDescent="0.2">
      <c r="B49" s="40"/>
      <c r="C49" s="40"/>
      <c r="D49" s="40"/>
      <c r="E49" s="40"/>
    </row>
    <row r="50" spans="1:5" x14ac:dyDescent="0.2">
      <c r="A50" t="s">
        <v>97</v>
      </c>
      <c r="B50" s="40">
        <v>-2517</v>
      </c>
      <c r="C50" s="40">
        <v>-33</v>
      </c>
      <c r="D50" s="40">
        <v>-825</v>
      </c>
      <c r="E50" s="40">
        <v>-6666</v>
      </c>
    </row>
    <row r="51" spans="1:5" ht="17" thickBot="1" x14ac:dyDescent="0.25">
      <c r="A51" s="21"/>
      <c r="B51" s="26"/>
      <c r="C51" s="26"/>
      <c r="D51" s="26"/>
      <c r="E51" s="26"/>
    </row>
    <row r="52" spans="1:5" ht="17" thickBot="1" x14ac:dyDescent="0.25">
      <c r="A52" s="21" t="s">
        <v>98</v>
      </c>
      <c r="B52" s="26">
        <f>SUM(B46:B50)</f>
        <v>65068</v>
      </c>
      <c r="C52" s="26">
        <f t="shared" ref="C52:E52" si="5">SUM(C46:C50)</f>
        <v>3643</v>
      </c>
      <c r="D52" s="26">
        <f t="shared" si="5"/>
        <v>28111</v>
      </c>
      <c r="E52" s="26">
        <f t="shared" si="5"/>
        <v>1815</v>
      </c>
    </row>
  </sheetData>
  <mergeCells count="1">
    <mergeCell ref="A1:E1"/>
  </mergeCells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B9C0-A5BE-7649-B4B7-D13D3C718339}">
  <dimension ref="A1:K27"/>
  <sheetViews>
    <sheetView showGridLines="0" tabSelected="1" zoomScale="140" zoomScaleNormal="140" workbookViewId="0">
      <selection activeCell="E12" sqref="E12"/>
    </sheetView>
  </sheetViews>
  <sheetFormatPr baseColWidth="10" defaultRowHeight="16" x14ac:dyDescent="0.2"/>
  <cols>
    <col min="1" max="1" width="29" bestFit="1" customWidth="1"/>
    <col min="2" max="5" width="12.83203125" style="10" bestFit="1" customWidth="1"/>
    <col min="10" max="10" width="11.6640625" bestFit="1" customWidth="1"/>
    <col min="11" max="11" width="12.83203125" bestFit="1" customWidth="1"/>
  </cols>
  <sheetData>
    <row r="1" spans="1:11" x14ac:dyDescent="0.2">
      <c r="A1" s="52" t="s">
        <v>109</v>
      </c>
      <c r="B1" s="52"/>
      <c r="C1" s="52"/>
      <c r="D1" s="52"/>
      <c r="E1" s="52"/>
    </row>
    <row r="3" spans="1:11" s="1" customFormat="1" ht="17" thickBot="1" x14ac:dyDescent="0.25">
      <c r="A3" s="13" t="s">
        <v>0</v>
      </c>
      <c r="B3" s="14" t="s">
        <v>23</v>
      </c>
      <c r="C3" s="14" t="s">
        <v>1</v>
      </c>
      <c r="D3" s="14" t="s">
        <v>2</v>
      </c>
      <c r="E3" s="14" t="s">
        <v>3</v>
      </c>
    </row>
    <row r="4" spans="1:11" x14ac:dyDescent="0.2">
      <c r="A4" s="17" t="s">
        <v>52</v>
      </c>
    </row>
    <row r="5" spans="1:11" x14ac:dyDescent="0.2">
      <c r="A5" t="s">
        <v>53</v>
      </c>
      <c r="B5" s="37">
        <f>'Balance Sheet'!B23+'Balance Sheet'!B25+'Balance Sheet'!B30+'Balance Sheet'!B31</f>
        <v>789857</v>
      </c>
      <c r="C5" s="37">
        <f>'Balance Sheet'!C23+'Balance Sheet'!C25+'Balance Sheet'!C30+'Balance Sheet'!C31</f>
        <v>564029</v>
      </c>
      <c r="D5" s="37">
        <f>'Balance Sheet'!D23+'Balance Sheet'!D25+'Balance Sheet'!D30+'Balance Sheet'!D31</f>
        <v>623066</v>
      </c>
      <c r="E5" s="37">
        <f>'Balance Sheet'!E23+'Balance Sheet'!E25+'Balance Sheet'!E30+'Balance Sheet'!E31</f>
        <v>574933</v>
      </c>
      <c r="K5" s="19"/>
    </row>
    <row r="6" spans="1:11" x14ac:dyDescent="0.2">
      <c r="A6" t="s">
        <v>54</v>
      </c>
      <c r="B6" s="37">
        <f>B5-'Balance Sheet'!B5</f>
        <v>724789</v>
      </c>
      <c r="C6" s="37">
        <f>C5-'Balance Sheet'!C5</f>
        <v>560386</v>
      </c>
      <c r="D6" s="37">
        <f>D5-'Balance Sheet'!D5</f>
        <v>594955</v>
      </c>
      <c r="E6" s="37">
        <f>E5-'Balance Sheet'!E5</f>
        <v>573118</v>
      </c>
    </row>
    <row r="7" spans="1:11" x14ac:dyDescent="0.2">
      <c r="A7" t="s">
        <v>105</v>
      </c>
      <c r="B7" s="43">
        <f>14445+160556</f>
        <v>175001</v>
      </c>
      <c r="C7" s="43">
        <f>12651+152579</f>
        <v>165230</v>
      </c>
      <c r="D7" s="43">
        <v>159655</v>
      </c>
      <c r="E7" s="43">
        <v>151742</v>
      </c>
    </row>
    <row r="8" spans="1:11" x14ac:dyDescent="0.2">
      <c r="A8" t="s">
        <v>113</v>
      </c>
      <c r="B8" s="25">
        <f>' Cash Flow'!B24</f>
        <v>199875</v>
      </c>
      <c r="C8" s="25">
        <f>' Cash Flow'!C24</f>
        <v>226298</v>
      </c>
      <c r="D8" s="25">
        <f>' Cash Flow'!D24</f>
        <v>133545</v>
      </c>
      <c r="E8" s="25">
        <f>' Cash Flow'!E24</f>
        <v>146379</v>
      </c>
    </row>
    <row r="9" spans="1:11" x14ac:dyDescent="0.2">
      <c r="A9" t="s">
        <v>114</v>
      </c>
      <c r="B9" s="50">
        <f>B8/B5</f>
        <v>0.25305213475350602</v>
      </c>
      <c r="C9" s="50">
        <f t="shared" ref="C9:E9" si="0">C8/C5</f>
        <v>0.40121695870247809</v>
      </c>
      <c r="D9" s="50">
        <f t="shared" si="0"/>
        <v>0.2143352389634485</v>
      </c>
      <c r="E9" s="50">
        <f t="shared" si="0"/>
        <v>0.25460184056229163</v>
      </c>
    </row>
    <row r="10" spans="1:11" x14ac:dyDescent="0.2">
      <c r="B10" s="25"/>
      <c r="C10" s="25"/>
      <c r="D10" s="25"/>
      <c r="E10" s="25"/>
    </row>
    <row r="11" spans="1:11" x14ac:dyDescent="0.2">
      <c r="A11" s="17" t="s">
        <v>103</v>
      </c>
    </row>
    <row r="12" spans="1:11" x14ac:dyDescent="0.2">
      <c r="A12" t="s">
        <v>55</v>
      </c>
      <c r="B12" s="45">
        <f>(B5)/'Income Statement'!B16</f>
        <v>3.0137206347510559</v>
      </c>
      <c r="C12" s="44">
        <f>(C5)/'Income Statement'!C16</f>
        <v>3.4781823115156447</v>
      </c>
      <c r="D12" s="44">
        <f>(D5)/'Income Statement'!D16</f>
        <v>3.6013918511967722</v>
      </c>
      <c r="E12" s="44">
        <f>(E5)/'Income Statement'!E16</f>
        <v>3.0563172135897041</v>
      </c>
    </row>
    <row r="13" spans="1:11" x14ac:dyDescent="0.2">
      <c r="A13" t="s">
        <v>56</v>
      </c>
      <c r="B13" s="44">
        <f>B6/'Income Statement'!B16</f>
        <v>2.7654519300842848</v>
      </c>
      <c r="C13" s="44">
        <f>C6/'Income Statement'!C16</f>
        <v>3.4557171223837893</v>
      </c>
      <c r="D13" s="44">
        <f>D6/'Income Statement'!D16</f>
        <v>3.4389070962446606</v>
      </c>
      <c r="E13" s="44">
        <f>E6/'Income Statement'!E16</f>
        <v>3.0466687576084586</v>
      </c>
    </row>
    <row r="14" spans="1:11" x14ac:dyDescent="0.2">
      <c r="B14" s="36"/>
      <c r="C14" s="36"/>
      <c r="D14" s="36"/>
      <c r="E14" s="36"/>
    </row>
    <row r="15" spans="1:11" x14ac:dyDescent="0.2">
      <c r="A15" s="17" t="s">
        <v>102</v>
      </c>
      <c r="B15" s="36"/>
      <c r="C15" s="36"/>
      <c r="D15" s="36"/>
      <c r="E15" s="36"/>
    </row>
    <row r="16" spans="1:11" x14ac:dyDescent="0.2">
      <c r="A16" t="s">
        <v>57</v>
      </c>
      <c r="B16" s="44">
        <f>-'Income Statement'!B19/' Cash Flow'!B14</f>
        <v>6.4717769805483334</v>
      </c>
      <c r="C16" s="44">
        <f>-'Income Statement'!C19/' Cash Flow'!C14</f>
        <v>2.1635336583536473</v>
      </c>
      <c r="D16" s="44">
        <f>-'Income Statement'!D19/' Cash Flow'!D14</f>
        <v>2.8261300670749492</v>
      </c>
      <c r="E16" s="44">
        <f>-'Income Statement'!E19/' Cash Flow'!E14</f>
        <v>2.8077949667719797</v>
      </c>
    </row>
    <row r="17" spans="1:5" x14ac:dyDescent="0.2">
      <c r="A17" t="s">
        <v>58</v>
      </c>
      <c r="B17" s="45">
        <f>-'Income Statement'!B16/(' Cash Flow'!B28+' Cash Flow'!B31)</f>
        <v>4.3580930526455814</v>
      </c>
      <c r="C17" s="45">
        <f>-'Income Statement'!C16/(' Cash Flow'!C28+' Cash Flow'!C31)</f>
        <v>2.5104031209362807</v>
      </c>
      <c r="D17" s="45">
        <f>-'Income Statement'!D16/(' Cash Flow'!D28+' Cash Flow'!D31)</f>
        <v>1.9648722316865417</v>
      </c>
      <c r="E17" s="45">
        <f>-'Income Statement'!E16/(' Cash Flow'!E28+' Cash Flow'!E31)</f>
        <v>1.1993942871716399</v>
      </c>
    </row>
    <row r="19" spans="1:5" x14ac:dyDescent="0.2">
      <c r="A19" s="17" t="s">
        <v>101</v>
      </c>
    </row>
    <row r="20" spans="1:5" x14ac:dyDescent="0.2">
      <c r="A20" t="s">
        <v>100</v>
      </c>
      <c r="B20" s="46">
        <f>'Balance Sheet'!B10/'Balance Sheet'!B27</f>
        <v>1.7516311821109849</v>
      </c>
      <c r="C20" s="46">
        <f>'Balance Sheet'!C10/'Balance Sheet'!C27</f>
        <v>2.5647137349270617</v>
      </c>
      <c r="D20" s="46">
        <f>'Balance Sheet'!D10/'Balance Sheet'!D27</f>
        <v>2.2297980886685349</v>
      </c>
      <c r="E20" s="46">
        <f>'Balance Sheet'!E10/'Balance Sheet'!E27</f>
        <v>2.0533564282936831</v>
      </c>
    </row>
    <row r="21" spans="1:5" x14ac:dyDescent="0.2">
      <c r="A21" t="s">
        <v>99</v>
      </c>
      <c r="B21" s="46">
        <f>('Balance Sheet'!B10-'Balance Sheet'!B7-'Balance Sheet'!B9)/'Balance Sheet'!B27</f>
        <v>0.59224138726616649</v>
      </c>
      <c r="C21" s="46">
        <f>('Balance Sheet'!C10-'Balance Sheet'!C7-'Balance Sheet'!C9)/'Balance Sheet'!C27</f>
        <v>0.88579696652995266</v>
      </c>
      <c r="D21" s="46">
        <f>('Balance Sheet'!D10-'Balance Sheet'!D7-'Balance Sheet'!D9)/'Balance Sheet'!D27</f>
        <v>0.77992383415966082</v>
      </c>
      <c r="E21" s="46">
        <f>('Balance Sheet'!E10-'Balance Sheet'!E7-'Balance Sheet'!E9)/'Balance Sheet'!E27</f>
        <v>0.66545653787691328</v>
      </c>
    </row>
    <row r="23" spans="1:5" x14ac:dyDescent="0.2">
      <c r="A23" s="17" t="s">
        <v>111</v>
      </c>
    </row>
    <row r="24" spans="1:5" x14ac:dyDescent="0.2">
      <c r="A24" t="s">
        <v>104</v>
      </c>
      <c r="B24" s="47">
        <f>(B7/'Income Statement'!B4)*365</f>
        <v>24.762039612834396</v>
      </c>
      <c r="C24" s="47">
        <f>(C7/'Income Statement'!C4)*365</f>
        <v>26.931766015100987</v>
      </c>
      <c r="D24" s="47">
        <f>(D7/'Income Statement'!D4)*365</f>
        <v>26.679117118948405</v>
      </c>
      <c r="E24" s="47">
        <f>(E7/'Income Statement'!E4)*365</f>
        <v>24.623957326523406</v>
      </c>
    </row>
    <row r="25" spans="1:5" x14ac:dyDescent="0.2">
      <c r="A25" t="s">
        <v>106</v>
      </c>
      <c r="B25" s="48">
        <f>-('Balance Sheet'!B7/'Income Statement'!B5)*365</f>
        <v>87.650783386946628</v>
      </c>
      <c r="C25" s="48">
        <f>-('Balance Sheet'!C7/'Income Statement'!C5)*365</f>
        <v>75.291534280535657</v>
      </c>
      <c r="D25" s="48">
        <f>-('Balance Sheet'!D7/'Income Statement'!D5)*365</f>
        <v>80.188019604793382</v>
      </c>
      <c r="E25" s="48">
        <f>-('Balance Sheet'!E7/'Income Statement'!E5)*365</f>
        <v>78.441590993604578</v>
      </c>
    </row>
    <row r="26" spans="1:5" x14ac:dyDescent="0.2">
      <c r="A26" s="2" t="s">
        <v>107</v>
      </c>
      <c r="B26" s="49">
        <f>-('Balance Sheet'!B24/'Income Statement'!B5)*365</f>
        <v>23.312468886242417</v>
      </c>
      <c r="C26" s="49">
        <f>-('Balance Sheet'!C24/'Income Statement'!C5)*365</f>
        <v>27.16943789328127</v>
      </c>
      <c r="D26" s="49">
        <f>-('Balance Sheet'!D24/'Income Statement'!D5)*365</f>
        <v>25.841629663067465</v>
      </c>
      <c r="E26" s="49">
        <f>-('Balance Sheet'!E24/'Income Statement'!E5)*365</f>
        <v>22.339948280217893</v>
      </c>
    </row>
    <row r="27" spans="1:5" x14ac:dyDescent="0.2">
      <c r="A27" t="s">
        <v>108</v>
      </c>
      <c r="B27" s="47">
        <f>B24+B25-B26</f>
        <v>89.100354113538614</v>
      </c>
      <c r="C27" s="47">
        <f t="shared" ref="C27:E27" si="1">C24+C25-C26</f>
        <v>75.053862402355378</v>
      </c>
      <c r="D27" s="47">
        <f t="shared" si="1"/>
        <v>81.025507060674329</v>
      </c>
      <c r="E27" s="47">
        <f t="shared" si="1"/>
        <v>80.725600039910091</v>
      </c>
    </row>
  </sheetData>
  <mergeCells count="1">
    <mergeCell ref="A1:E1"/>
  </mergeCells>
  <conditionalFormatting sqref="B12:E12">
    <cfRule type="colorScale" priority="24">
      <colorScale>
        <cfvo type="formula" val="&quot;&gt;=3&quot;"/>
        <cfvo type="formula" val="&quot;3,4,5&quot;"/>
        <cfvo type="formula" val="&quot;&lt;5&quot;"/>
        <color rgb="FF92D050"/>
        <color rgb="FFFFEB84"/>
        <color rgb="FFFF4C4D"/>
      </colorScale>
    </cfRule>
    <cfRule type="colorScale" priority="29">
      <colorScale>
        <cfvo type="formula" val="&quot;&gt;3&quot;"/>
        <cfvo type="formula" val="46086"/>
        <cfvo type="formula" val="&quot;&lt;5&quot;"/>
        <color rgb="FF92D050"/>
        <color rgb="FFFFEB84"/>
        <color rgb="FFFF4C4D"/>
      </colorScale>
    </cfRule>
    <cfRule type="colorScale" priority="30">
      <colorScale>
        <cfvo type="num" val="3"/>
        <cfvo type="num" val="5"/>
        <color rgb="FF92D050"/>
        <color rgb="FFFF4C4D"/>
      </colorScale>
    </cfRule>
  </conditionalFormatting>
  <conditionalFormatting sqref="B12:E13">
    <cfRule type="cellIs" dxfId="14" priority="20" operator="between">
      <formula>3</formula>
      <formula>5</formula>
    </cfRule>
    <cfRule type="cellIs" dxfId="13" priority="21" operator="greaterThan">
      <formula>5</formula>
    </cfRule>
    <cfRule type="cellIs" dxfId="12" priority="22" operator="lessThan">
      <formula>3</formula>
    </cfRule>
    <cfRule type="colorScale" priority="23">
      <colorScale>
        <cfvo type="min"/>
        <cfvo type="percentile" val="50"/>
        <cfvo type="max"/>
        <color rgb="FFFF7128"/>
        <color rgb="FFFFEB84"/>
        <color rgb="FFFFEF9C"/>
      </colorScale>
    </cfRule>
  </conditionalFormatting>
  <conditionalFormatting sqref="B16:E16">
    <cfRule type="cellIs" dxfId="11" priority="10" operator="lessThan">
      <formula>1.5</formula>
    </cfRule>
    <cfRule type="cellIs" dxfId="10" priority="11" operator="between">
      <formula>1.5</formula>
      <formula>2</formula>
    </cfRule>
    <cfRule type="cellIs" dxfId="9" priority="12" operator="greaterThan">
      <formula>2</formula>
    </cfRule>
  </conditionalFormatting>
  <conditionalFormatting sqref="B17:E17">
    <cfRule type="cellIs" dxfId="8" priority="7" operator="lessThan">
      <formula>1</formula>
    </cfRule>
    <cfRule type="cellIs" dxfId="7" priority="8" operator="between">
      <formula>1.25</formula>
      <formula>1</formula>
    </cfRule>
    <cfRule type="cellIs" dxfId="6" priority="9" operator="greaterThan">
      <formula>1.25</formula>
    </cfRule>
  </conditionalFormatting>
  <conditionalFormatting sqref="B20:E20">
    <cfRule type="cellIs" dxfId="5" priority="4" operator="lessThan">
      <formula>1</formula>
    </cfRule>
    <cfRule type="cellIs" dxfId="4" priority="5" operator="between">
      <formula>1</formula>
      <formula>1.5</formula>
    </cfRule>
    <cfRule type="cellIs" dxfId="3" priority="6" operator="greaterThan">
      <formula>1.5</formula>
    </cfRule>
  </conditionalFormatting>
  <conditionalFormatting sqref="B21:E21">
    <cfRule type="cellIs" dxfId="2" priority="1" operator="greaterThan">
      <formula>1</formula>
    </cfRule>
    <cfRule type="cellIs" dxfId="1" priority="2" operator="between">
      <formula>0.75</formula>
      <formula>1</formula>
    </cfRule>
    <cfRule type="cellIs" dxfId="0" priority="3" operator="lessThan">
      <formula>0.75</formula>
    </cfRule>
  </conditionalFormatting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Income Statement</vt:lpstr>
      <vt:lpstr>Balance Sheet</vt:lpstr>
      <vt:lpstr> Cash Flow</vt:lpstr>
      <vt:lpstr>Credit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Rajput</dc:creator>
  <cp:lastModifiedBy>Yuvraj Rajput</cp:lastModifiedBy>
  <dcterms:created xsi:type="dcterms:W3CDTF">2026-04-19T19:02:09Z</dcterms:created>
  <dcterms:modified xsi:type="dcterms:W3CDTF">2026-04-24T03:34:45Z</dcterms:modified>
</cp:coreProperties>
</file>